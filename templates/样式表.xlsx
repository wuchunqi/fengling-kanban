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20"/>
  </bookViews>
  <sheets>
    <sheet name="Sheet1" sheetId="1" r:id="rId1"/>
  </sheets>
  <externalReferences>
    <externalReference r:id="rId2"/>
  </externalReferences>
  <definedNames>
    <definedName name="_xlnm._FilterDatabase">[1]销售风灵在线率明细数据!$A$1:$J$54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<sst xmlns="http://schemas.openxmlformats.org/spreadsheetml/2006/main" count="32" uniqueCount="30">
  <si>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企微风灵全天在线情况通晒（郑州）-4月2日</t>
  </si>
  <si>
    <t>学部</t>
  </si>
  <si>
    <t>年级</t>
  </si>
  <si>
    <t>战队</t>
  </si>
  <si>
    <t>接流人数</t>
  </si>
  <si>
    <t>电脑端全天在线情况</t>
  </si>
  <si>
    <t>手机端全天在线情况</t>
  </si>
  <si>
    <t>人数</t>
  </si>
  <si>
    <t>全天在线率</t>
  </si>
  <si>
    <t>高中</t>
  </si>
  <si>
    <t>高二</t>
  </si>
  <si>
    <t>鼎立苍穹--吕萍</t>
  </si>
  <si>
    <t>勇立潮头--王雅欣</t>
  </si>
  <si>
    <t>鼓足干劲--张凯</t>
  </si>
  <si>
    <t>高二 汇总</t>
  </si>
  <si>
    <t>高一</t>
  </si>
  <si>
    <t>风禾尽起--陈春雨</t>
  </si>
  <si>
    <t>巅峰王者--李珂珂</t>
  </si>
  <si>
    <t>溯川向上--刘炎鹤</t>
  </si>
  <si>
    <t>高一 汇总</t>
  </si>
  <si>
    <t>高三</t>
  </si>
  <si>
    <t>逐鹿中原--彭铖名</t>
  </si>
  <si>
    <t>当仁不让--张海升</t>
  </si>
  <si>
    <t>高三 汇总</t>
  </si>
  <si>
    <t>新兵营</t>
  </si>
  <si>
    <t>新兵营1组--李军林</t>
  </si>
  <si>
    <t>鹏耀巅峰--孔坤朋</t>
  </si>
  <si>
    <t>攻错若石--尤振中</t>
  </si>
  <si>
    <t>高中新兵营 汇总</t>
  </si>
  <si>
    <t>高中 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</si>
</sst>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sz val="11"/>
      <color rgb="FF000000"/>
      <name val="宋体"/>
      <charset val="134"/>
    </font>
    <font>
      <sz val="10"/>
      <name val="等线"/>
      <charset val="134"/>
    </font>
    <font>
      <b/>
      <sz val="12"/>
      <color rgb="FF9438FB"/>
      <name val="PingFang SC Regular"/>
      <charset val="134"/>
    </font>
    <font>
      <b/>
      <sz val="11"/>
      <color rgb="FFFFFFFF"/>
      <name val="PingFang SC Regular"/>
      <charset val="134"/>
    </font>
    <font>
      <sz val="11"/>
      <name val="等线"/>
      <charset val="134"/>
    </font>
    <font>
      <sz val="11"/>
      <color rgb="FF000000"/>
      <name val="PingFang SC Regular"/>
      <charset val="134"/>
    </font>
    <font>
      <b/>
      <sz val="11"/>
      <color rgb="FF000000"/>
      <name val="PingFang SC Regular"/>
      <charset val="134"/>
    </font>
    <font>
      <sz val="11"/>
      <color rgb="FF000000"/>
      <name val="等线"/>
      <charset val="134"/>
    </font>
    <font>
      <b/>
      <sz val="11"/>
      <color rgb="FFD9730D"/>
      <name val="PingFang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71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5C8EE"/>
        <bgColor indexed="64"/>
      </patternFill>
    </fill>
    <fill>
      <patternFill patternType="solid">
        <fgColor rgb="FFFB8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9" fontId="3" fillId="0" borderId="0" xfId="0" applyNumberFormat="1" applyFont="1" applyFill="1" applyAlignment="1">
      <alignment vertical="center"/>
    </xf>
    <xf numFmtId="0" fontId="4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vertical="center"/>
    </xf>
    <xf numFmtId="0" fontId="5" fillId="2" borderId="2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vertical="center"/>
    </xf>
    <xf numFmtId="0" fontId="3" fillId="0" borderId="3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7" fillId="3" borderId="6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vertical="center"/>
    </xf>
    <xf numFmtId="0" fontId="3" fillId="0" borderId="7" xfId="0" applyFont="1" applyFill="1" applyBorder="1" applyAlignment="1" applyProtection="1">
      <alignment vertical="center"/>
    </xf>
    <xf numFmtId="0" fontId="3" fillId="0" borderId="8" xfId="0" applyFont="1" applyFill="1" applyBorder="1" applyAlignment="1" applyProtection="1">
      <alignment vertical="center"/>
    </xf>
    <xf numFmtId="0" fontId="8" fillId="4" borderId="1" xfId="0" applyFont="1" applyFill="1" applyBorder="1" applyAlignment="1" applyProtection="1">
      <alignment horizontal="center" vertical="center"/>
    </xf>
    <xf numFmtId="0" fontId="8" fillId="4" borderId="9" xfId="0" applyFont="1" applyFill="1" applyBorder="1" applyAlignment="1" applyProtection="1">
      <alignment horizontal="center" vertical="center"/>
    </xf>
    <xf numFmtId="0" fontId="8" fillId="4" borderId="6" xfId="0" applyFont="1" applyFill="1" applyBorder="1" applyAlignment="1" applyProtection="1">
      <alignment horizontal="center" vertical="center"/>
    </xf>
    <xf numFmtId="0" fontId="8" fillId="4" borderId="2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</xf>
    <xf numFmtId="0" fontId="10" fillId="4" borderId="1" xfId="0" applyFont="1" applyFill="1" applyBorder="1" applyAlignment="1" applyProtection="1">
      <alignment horizontal="center" vertical="center"/>
    </xf>
    <xf numFmtId="0" fontId="8" fillId="5" borderId="1" xfId="0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Alignment="1" applyProtection="1">
      <alignment vertical="center"/>
    </xf>
    <xf numFmtId="10" fontId="5" fillId="2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vertical="center"/>
    </xf>
    <xf numFmtId="0" fontId="5" fillId="6" borderId="2" xfId="0" applyFont="1" applyFill="1" applyBorder="1" applyAlignment="1" applyProtection="1">
      <alignment horizontal="center" vertical="center"/>
    </xf>
    <xf numFmtId="9" fontId="3" fillId="0" borderId="2" xfId="0" applyNumberFormat="1" applyFont="1" applyFill="1" applyBorder="1" applyAlignment="1" applyProtection="1">
      <alignment horizontal="center" vertical="center"/>
    </xf>
    <xf numFmtId="10" fontId="5" fillId="2" borderId="3" xfId="0" applyNumberFormat="1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6" borderId="3" xfId="0" applyFont="1" applyFill="1" applyBorder="1" applyAlignment="1" applyProtection="1">
      <alignment horizontal="center" vertical="center"/>
    </xf>
    <xf numFmtId="9" fontId="5" fillId="6" borderId="3" xfId="0" applyNumberFormat="1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  <xf numFmtId="10" fontId="7" fillId="3" borderId="1" xfId="0" applyNumberFormat="1" applyFont="1" applyFill="1" applyBorder="1" applyAlignment="1" applyProtection="1">
      <alignment horizontal="center" vertical="center"/>
    </xf>
    <xf numFmtId="10" fontId="8" fillId="4" borderId="1" xfId="0" applyNumberFormat="1" applyFont="1" applyFill="1" applyBorder="1" applyAlignment="1" applyProtection="1">
      <alignment horizontal="center" vertical="center"/>
    </xf>
    <xf numFmtId="10" fontId="8" fillId="5" borderId="1" xfId="0" applyNumberFormat="1" applyFont="1" applyFill="1" applyBorder="1" applyAlignment="1" applyProtection="1">
      <alignment horizontal="center" vertical="center"/>
    </xf>
    <xf numFmtId="10" fontId="2" fillId="0" borderId="0" xfId="0" applyNumberFormat="1" applyFont="1" applyFill="1" applyAlignment="1">
      <alignment horizontal="center" vertical="center"/>
    </xf>
    <xf numFmtId="9" fontId="2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b val="1"/>
        <color rgb="FF25B059"/>
      </font>
      <fill>
        <patternFill patternType="solid">
          <bgColor rgb="FFFFFFFF"/>
        </patternFill>
      </fill>
    </dxf>
    <dxf>
      <font>
        <b val="1"/>
        <color rgb="FFBE0E1E"/>
      </font>
    </dxf>
    <dxf>
      <font>
        <b val="1"/>
        <color rgb="FFBD101E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oeyzhou/Desktop/&#24037;&#20316;/&#39118;&#28789;&#25968;&#25454;/&#37073;&#24030;-&#39640;&#30701;-&#38144;&#21806;&#39118;&#28789;&#22312;&#32447;&#29575;&#26126;&#32454;&#25968;&#25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销售风灵在线率明细数据"/>
      <sheetName val="战队汇总透视"/>
      <sheetName val="战队数据"/>
    </sheetNames>
    <sheetDataSet>
      <sheetData sheetId="0"/>
      <sheetData sheetId="1">
        <row r="3">
          <cell r="C3" t="str">
            <v>战队</v>
          </cell>
          <cell r="D3" t="str">
            <v>计数:老师姓名</v>
          </cell>
        </row>
        <row r="3">
          <cell r="H3" t="str">
            <v>战队</v>
          </cell>
          <cell r="I3" t="str">
            <v>计数项:销售邮箱</v>
          </cell>
        </row>
        <row r="3">
          <cell r="M3" t="str">
            <v>战队</v>
          </cell>
          <cell r="N3" t="str">
            <v>计数项:销售邮箱</v>
          </cell>
        </row>
        <row r="4">
          <cell r="D4">
            <v>83</v>
          </cell>
        </row>
        <row r="4">
          <cell r="I4">
            <v>62</v>
          </cell>
        </row>
        <row r="4">
          <cell r="N4">
            <v>80</v>
          </cell>
        </row>
        <row r="5">
          <cell r="I5">
            <v>10</v>
          </cell>
        </row>
        <row r="5">
          <cell r="N5">
            <v>15</v>
          </cell>
        </row>
        <row r="6">
          <cell r="C6" t="str">
            <v>当仁不让--张海升</v>
          </cell>
          <cell r="D6">
            <v>9</v>
          </cell>
        </row>
        <row r="6">
          <cell r="H6" t="str">
            <v>攻错若石--尤振中</v>
          </cell>
          <cell r="I6">
            <v>1</v>
          </cell>
        </row>
        <row r="6">
          <cell r="M6" t="str">
            <v>攻错若石--尤振中</v>
          </cell>
          <cell r="N6">
            <v>3</v>
          </cell>
        </row>
        <row r="7">
          <cell r="C7" t="str">
            <v>逐鹿中原--彭铖名</v>
          </cell>
          <cell r="D7">
            <v>14</v>
          </cell>
        </row>
        <row r="7">
          <cell r="H7" t="str">
            <v>新兵营1组--李军林</v>
          </cell>
          <cell r="I7">
            <v>4</v>
          </cell>
        </row>
        <row r="7">
          <cell r="M7" t="str">
            <v>新兵营1组--李军林</v>
          </cell>
          <cell r="N7">
            <v>7</v>
          </cell>
        </row>
        <row r="8">
          <cell r="D8">
            <v>23</v>
          </cell>
        </row>
        <row r="8">
          <cell r="H8" t="str">
            <v>鹏耀巅峰--孔坤朋</v>
          </cell>
          <cell r="I8">
            <v>5</v>
          </cell>
        </row>
        <row r="8">
          <cell r="M8" t="str">
            <v>鹏耀巅峰--孔坤朋</v>
          </cell>
          <cell r="N8">
            <v>5</v>
          </cell>
        </row>
        <row r="9">
          <cell r="I9">
            <v>15</v>
          </cell>
        </row>
        <row r="9">
          <cell r="N9">
            <v>16</v>
          </cell>
        </row>
        <row r="10">
          <cell r="C10" t="str">
            <v>勇立潮头--王雅欣</v>
          </cell>
          <cell r="D10">
            <v>10</v>
          </cell>
        </row>
        <row r="10">
          <cell r="H10" t="str">
            <v>勇立潮头--王雅欣</v>
          </cell>
          <cell r="I10">
            <v>10</v>
          </cell>
        </row>
        <row r="10">
          <cell r="M10" t="str">
            <v>勇立潮头--王雅欣</v>
          </cell>
          <cell r="N10">
            <v>10</v>
          </cell>
        </row>
        <row r="11">
          <cell r="C11" t="str">
            <v>鼓足干劲--张凯</v>
          </cell>
          <cell r="D11">
            <v>6</v>
          </cell>
        </row>
        <row r="11">
          <cell r="H11" t="str">
            <v>鼓足干劲--张凯</v>
          </cell>
          <cell r="I11">
            <v>5</v>
          </cell>
        </row>
        <row r="11">
          <cell r="M11" t="str">
            <v>鼓足干劲--张凯</v>
          </cell>
          <cell r="N11">
            <v>6</v>
          </cell>
        </row>
        <row r="12">
          <cell r="D12">
            <v>16</v>
          </cell>
        </row>
        <row r="12">
          <cell r="I12">
            <v>22</v>
          </cell>
        </row>
        <row r="12">
          <cell r="N12">
            <v>28</v>
          </cell>
        </row>
        <row r="13">
          <cell r="H13" t="str">
            <v>巅峰王者--李珂珂</v>
          </cell>
          <cell r="I13">
            <v>4</v>
          </cell>
        </row>
        <row r="13">
          <cell r="M13" t="str">
            <v>巅峰王者--李珂珂</v>
          </cell>
          <cell r="N13">
            <v>8</v>
          </cell>
        </row>
        <row r="14">
          <cell r="C14" t="str">
            <v>风禾尽起--陈春雨</v>
          </cell>
          <cell r="D14">
            <v>11</v>
          </cell>
        </row>
        <row r="14">
          <cell r="H14" t="str">
            <v>溯川向上--刘炎鹤</v>
          </cell>
          <cell r="I14">
            <v>9</v>
          </cell>
        </row>
        <row r="14">
          <cell r="M14" t="str">
            <v>溯川向上--刘炎鹤</v>
          </cell>
          <cell r="N14">
            <v>9</v>
          </cell>
        </row>
        <row r="15">
          <cell r="C15" t="str">
            <v>溯川向上--刘炎鹤</v>
          </cell>
          <cell r="D15">
            <v>9</v>
          </cell>
        </row>
        <row r="15">
          <cell r="H15" t="str">
            <v>风禾尽起--陈春雨</v>
          </cell>
          <cell r="I15">
            <v>9</v>
          </cell>
        </row>
        <row r="15">
          <cell r="M15" t="str">
            <v>风禾尽起--陈春雨</v>
          </cell>
          <cell r="N15">
            <v>11</v>
          </cell>
        </row>
        <row r="16">
          <cell r="C16" t="str">
            <v>巅峰王者--李珂珂</v>
          </cell>
          <cell r="D16">
            <v>8</v>
          </cell>
        </row>
        <row r="16">
          <cell r="I16">
            <v>15</v>
          </cell>
        </row>
        <row r="16">
          <cell r="N16">
            <v>21</v>
          </cell>
        </row>
        <row r="17">
          <cell r="D17">
            <v>28</v>
          </cell>
        </row>
        <row r="17">
          <cell r="H17" t="str">
            <v>逐鹿中原--彭铖名</v>
          </cell>
          <cell r="I17">
            <v>9</v>
          </cell>
        </row>
        <row r="17">
          <cell r="M17" t="str">
            <v>逐鹿中原--彭铖名</v>
          </cell>
          <cell r="N17">
            <v>13</v>
          </cell>
        </row>
        <row r="18">
          <cell r="H18" t="str">
            <v>当仁不让--张海升</v>
          </cell>
          <cell r="I18">
            <v>6</v>
          </cell>
        </row>
        <row r="18">
          <cell r="M18" t="str">
            <v>当仁不让--张海升</v>
          </cell>
          <cell r="N18">
            <v>8</v>
          </cell>
        </row>
        <row r="19">
          <cell r="C19" t="str">
            <v>新兵营1组--李军林</v>
          </cell>
          <cell r="D19">
            <v>7</v>
          </cell>
        </row>
        <row r="19">
          <cell r="I19">
            <v>62</v>
          </cell>
        </row>
        <row r="19">
          <cell r="N19">
            <v>80</v>
          </cell>
        </row>
        <row r="20">
          <cell r="C20" t="str">
            <v>攻错若石--尤振中</v>
          </cell>
          <cell r="D20">
            <v>4</v>
          </cell>
        </row>
        <row r="21">
          <cell r="C21" t="str">
            <v>鹏耀巅峰--孔坤朋</v>
          </cell>
          <cell r="D21">
            <v>5</v>
          </cell>
        </row>
        <row r="22">
          <cell r="D22">
            <v>16</v>
          </cell>
        </row>
        <row r="23">
          <cell r="D23">
            <v>0</v>
          </cell>
        </row>
        <row r="25">
          <cell r="C25" t="str">
            <v>(空白)</v>
          </cell>
          <cell r="D25">
            <v>0</v>
          </cell>
        </row>
        <row r="26">
          <cell r="D26">
            <v>0</v>
          </cell>
        </row>
        <row r="27">
          <cell r="D27">
            <v>83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1"/>
  <sheetViews>
    <sheetView tabSelected="1" workbookViewId="0">
      <selection activeCell="A20" sqref="A20:H21"/>
    </sheetView>
  </sheetViews>
  <sheetFormatPr defaultColWidth="10.5769230769231" defaultRowHeight="16.8" customHeight="1"/>
  <cols>
    <col min="1" max="1" width="7.01923076923077" style="2" customWidth="1"/>
    <col min="2" max="2" width="7.35576923076923" style="3"/>
    <col min="3" max="3" width="26.6057692307692" style="3" customWidth="1"/>
    <col min="4" max="4" width="9.375" style="2"/>
    <col min="5" max="5" width="7.21153846153846" style="2" customWidth="1"/>
    <col min="6" max="6" width="12.9807692307692" style="2" customWidth="1"/>
    <col min="7" max="7" width="6.49038461538461" style="2" customWidth="1"/>
    <col min="8" max="8" width="12.9807692307692" style="3" customWidth="1"/>
    <col min="9" max="10" width="10.5769230769231" style="1"/>
    <col min="11" max="11" width="7.01923076923077" style="2" customWidth="1"/>
    <col min="12" max="12" width="7.35576923076923" style="3"/>
    <col min="13" max="13" width="9.15384615384615" style="3" customWidth="1"/>
    <col min="14" max="17" width="10.5769230769231" style="1"/>
    <col min="18" max="18" width="11.5384615384615" style="4"/>
    <col min="19" max="16384" width="10.5769230769231" style="1"/>
  </cols>
  <sheetData>
    <row r="1" s="1" customFormat="1" customHeight="1" spans="1:33">
      <c r="A1" s="2"/>
      <c r="B1" s="3"/>
      <c r="C1" s="3"/>
      <c r="D1" s="3"/>
      <c r="E1" s="3"/>
      <c r="F1" s="3"/>
      <c r="G1" s="3"/>
      <c r="H1" s="3"/>
      <c r="I1" s="2"/>
      <c r="J1" s="2"/>
      <c r="K1" s="2"/>
      <c r="L1" s="3"/>
      <c r="M1" s="3"/>
      <c r="N1" s="2"/>
      <c r="O1" s="2"/>
      <c r="P1" s="2"/>
      <c r="Q1" s="2"/>
      <c r="R1" s="4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="1" customFormat="1" ht="18.75" customHeight="1" spans="1:33">
      <c r="A2" s="5" t="s">
        <v>0</v>
      </c>
      <c r="B2" s="6"/>
      <c r="C2" s="6"/>
      <c r="D2" s="6"/>
      <c r="E2" s="6"/>
      <c r="F2" s="6"/>
      <c r="G2" s="6"/>
      <c r="H2" s="28"/>
      <c r="I2" s="2"/>
      <c r="J2" s="2"/>
      <c r="K2" s="2"/>
      <c r="L2" s="3"/>
      <c r="M2" s="3"/>
      <c r="N2" s="2"/>
      <c r="O2" s="2"/>
      <c r="P2" s="2"/>
      <c r="Q2" s="2"/>
      <c r="R2" s="4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="1" customFormat="1" customHeight="1" spans="1:33">
      <c r="A3" s="7" t="s">
        <v>1</v>
      </c>
      <c r="B3" s="7" t="s">
        <v>2</v>
      </c>
      <c r="C3" s="7" t="s">
        <v>3</v>
      </c>
      <c r="D3" s="7" t="s">
        <v>4</v>
      </c>
      <c r="E3" s="29" t="s">
        <v>5</v>
      </c>
      <c r="F3" s="30"/>
      <c r="G3" s="31" t="s">
        <v>6</v>
      </c>
      <c r="H3" s="32"/>
      <c r="I3" s="2"/>
      <c r="J3" s="2"/>
      <c r="K3" s="2"/>
      <c r="L3" s="3"/>
      <c r="M3" s="3"/>
      <c r="N3" s="2"/>
      <c r="O3" s="2"/>
      <c r="P3" s="2"/>
      <c r="Q3" s="2"/>
      <c r="R3" s="4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="1" customFormat="1" customHeight="1" spans="1:33">
      <c r="A4" s="8"/>
      <c r="B4" s="9"/>
      <c r="C4" s="10"/>
      <c r="D4" s="9"/>
      <c r="E4" s="33" t="s">
        <v>7</v>
      </c>
      <c r="F4" s="34" t="s">
        <v>8</v>
      </c>
      <c r="G4" s="35" t="s">
        <v>7</v>
      </c>
      <c r="H4" s="36" t="s">
        <v>8</v>
      </c>
      <c r="I4" s="2"/>
      <c r="J4" s="2"/>
      <c r="K4" s="2"/>
      <c r="L4" s="3"/>
      <c r="M4" s="3"/>
      <c r="N4" s="2"/>
      <c r="O4" s="2"/>
      <c r="P4" s="2"/>
      <c r="Q4" s="2"/>
      <c r="R4" s="4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="1" customFormat="1" customHeight="1" spans="1:33">
      <c r="A5" s="11" t="s">
        <v>9</v>
      </c>
      <c r="B5" s="12" t="s">
        <v>10</v>
      </c>
      <c r="C5" s="13" t="s">
        <v>11</v>
      </c>
      <c r="D5" s="14">
        <v>0</v>
      </c>
      <c r="E5" s="37">
        <v>0</v>
      </c>
      <c r="F5" s="38">
        <v>0</v>
      </c>
      <c r="G5" s="37">
        <v>0</v>
      </c>
      <c r="H5" s="38">
        <v>0</v>
      </c>
      <c r="I5" s="2"/>
      <c r="J5" s="2"/>
      <c r="K5" s="2"/>
      <c r="L5" s="3"/>
      <c r="M5" s="3"/>
      <c r="N5" s="2"/>
      <c r="O5" s="2"/>
      <c r="P5" s="2"/>
      <c r="Q5" s="2"/>
      <c r="R5" s="4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="1" customFormat="1" customHeight="1" spans="1:33">
      <c r="A6" s="15"/>
      <c r="B6" s="16"/>
      <c r="C6" s="13" t="s">
        <v>12</v>
      </c>
      <c r="D6" s="14">
        <f>VLOOKUP(C6,[1]战队汇总透视!C:D,2,FALSE)</f>
        <v>10</v>
      </c>
      <c r="E6" s="37">
        <f>VLOOKUP(C6,[1]战队汇总透视!M:N,2,0)</f>
        <v>10</v>
      </c>
      <c r="F6" s="38">
        <f t="shared" ref="F6:F20" si="0">E6/D6</f>
        <v>1</v>
      </c>
      <c r="G6" s="37">
        <f>VLOOKUP(C6,[1]战队汇总透视!H:I,2,0)</f>
        <v>10</v>
      </c>
      <c r="H6" s="38">
        <f t="shared" ref="H6:H20" si="1">G6/D6</f>
        <v>1</v>
      </c>
      <c r="I6" s="2"/>
      <c r="J6" s="2"/>
      <c r="K6" s="2"/>
      <c r="L6" s="3"/>
      <c r="M6" s="3"/>
      <c r="N6" s="2"/>
      <c r="O6" s="2"/>
      <c r="P6" s="2"/>
      <c r="Q6" s="2"/>
      <c r="R6" s="4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="1" customFormat="1" customHeight="1" spans="1:33">
      <c r="A7" s="15"/>
      <c r="B7" s="17"/>
      <c r="C7" s="13" t="s">
        <v>13</v>
      </c>
      <c r="D7" s="14">
        <f>VLOOKUP(C7,[1]战队汇总透视!C:D,2,FALSE)</f>
        <v>6</v>
      </c>
      <c r="E7" s="37">
        <f>VLOOKUP(C7,[1]战队汇总透视!M:N,2,0)</f>
        <v>6</v>
      </c>
      <c r="F7" s="38">
        <f t="shared" si="0"/>
        <v>1</v>
      </c>
      <c r="G7" s="37">
        <f>VLOOKUP(C7,[1]战队汇总透视!H:I,2,0)</f>
        <v>5</v>
      </c>
      <c r="H7" s="38">
        <f t="shared" si="1"/>
        <v>0.833333333333333</v>
      </c>
      <c r="I7" s="2"/>
      <c r="J7" s="2"/>
      <c r="K7" s="2"/>
      <c r="L7" s="3"/>
      <c r="M7" s="3"/>
      <c r="N7" s="2"/>
      <c r="O7" s="2"/>
      <c r="P7" s="2"/>
      <c r="Q7" s="2"/>
      <c r="R7" s="4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="1" customFormat="1" customHeight="1" spans="1:33">
      <c r="A8" s="15"/>
      <c r="B8" s="18" t="s">
        <v>14</v>
      </c>
      <c r="C8" s="19"/>
      <c r="D8" s="20">
        <f t="shared" ref="D8:G8" si="2">SUM(D5:D7)</f>
        <v>16</v>
      </c>
      <c r="E8" s="18">
        <f t="shared" si="2"/>
        <v>16</v>
      </c>
      <c r="F8" s="39">
        <f t="shared" si="0"/>
        <v>1</v>
      </c>
      <c r="G8" s="18">
        <f t="shared" si="2"/>
        <v>15</v>
      </c>
      <c r="H8" s="39">
        <f t="shared" si="1"/>
        <v>0.9375</v>
      </c>
      <c r="I8" s="2"/>
      <c r="J8" s="2"/>
      <c r="K8" s="2"/>
      <c r="L8" s="3"/>
      <c r="M8" s="3"/>
      <c r="N8" s="2"/>
      <c r="O8" s="2"/>
      <c r="P8" s="2"/>
      <c r="Q8" s="2"/>
      <c r="R8" s="4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="1" customFormat="1" customHeight="1" spans="1:33">
      <c r="A9" s="15"/>
      <c r="B9" s="12" t="s">
        <v>15</v>
      </c>
      <c r="C9" s="13" t="s">
        <v>16</v>
      </c>
      <c r="D9" s="14">
        <f>VLOOKUP(C9,[1]战队汇总透视!C:D,2,FALSE)</f>
        <v>11</v>
      </c>
      <c r="E9" s="37">
        <f>VLOOKUP(C9,[1]战队汇总透视!M:N,2,0)</f>
        <v>11</v>
      </c>
      <c r="F9" s="38">
        <f t="shared" si="0"/>
        <v>1</v>
      </c>
      <c r="G9" s="37">
        <f>VLOOKUP(C9,[1]战队汇总透视!H:I,2,0)</f>
        <v>9</v>
      </c>
      <c r="H9" s="38">
        <f t="shared" si="1"/>
        <v>0.818181818181818</v>
      </c>
      <c r="I9" s="2"/>
      <c r="J9" s="2"/>
      <c r="K9" s="2"/>
      <c r="L9" s="3"/>
      <c r="M9" s="3"/>
      <c r="N9" s="2"/>
      <c r="O9" s="2"/>
      <c r="P9" s="2"/>
      <c r="Q9" s="2"/>
      <c r="R9" s="4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="1" customFormat="1" customHeight="1" spans="1:33">
      <c r="A10" s="15"/>
      <c r="B10" s="16"/>
      <c r="C10" s="13" t="s">
        <v>17</v>
      </c>
      <c r="D10" s="14">
        <f>VLOOKUP(C10,[1]战队汇总透视!C:D,2,FALSE)</f>
        <v>8</v>
      </c>
      <c r="E10" s="37">
        <f>VLOOKUP(C10,[1]战队汇总透视!M:N,2,0)</f>
        <v>8</v>
      </c>
      <c r="F10" s="38">
        <f t="shared" si="0"/>
        <v>1</v>
      </c>
      <c r="G10" s="37">
        <f>VLOOKUP(C10,[1]战队汇总透视!H:I,2,0)</f>
        <v>4</v>
      </c>
      <c r="H10" s="38">
        <f t="shared" si="1"/>
        <v>0.5</v>
      </c>
      <c r="I10" s="2"/>
      <c r="J10" s="2"/>
      <c r="K10" s="2"/>
      <c r="L10" s="3"/>
      <c r="M10" s="3"/>
      <c r="N10" s="2"/>
      <c r="O10" s="2"/>
      <c r="P10" s="2"/>
      <c r="Q10" s="2"/>
      <c r="R10" s="4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="1" customFormat="1" customHeight="1" spans="1:33">
      <c r="A11" s="15"/>
      <c r="B11" s="17"/>
      <c r="C11" s="13" t="s">
        <v>18</v>
      </c>
      <c r="D11" s="14">
        <f>VLOOKUP(C11,[1]战队汇总透视!C:D,2,FALSE)</f>
        <v>9</v>
      </c>
      <c r="E11" s="37">
        <f>VLOOKUP(C11,[1]战队汇总透视!M:N,2,0)</f>
        <v>9</v>
      </c>
      <c r="F11" s="38">
        <f t="shared" si="0"/>
        <v>1</v>
      </c>
      <c r="G11" s="37">
        <f>VLOOKUP(C11,[1]战队汇总透视!H:I,2,0)</f>
        <v>9</v>
      </c>
      <c r="H11" s="38">
        <f t="shared" si="1"/>
        <v>1</v>
      </c>
      <c r="I11" s="2"/>
      <c r="J11" s="2"/>
      <c r="K11" s="2"/>
      <c r="L11" s="3"/>
      <c r="M11" s="3"/>
      <c r="N11" s="2"/>
      <c r="O11" s="2"/>
      <c r="P11" s="2"/>
      <c r="Q11" s="2"/>
      <c r="R11" s="4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="1" customFormat="1" customHeight="1" spans="1:33">
      <c r="A12" s="15"/>
      <c r="B12" s="18" t="s">
        <v>19</v>
      </c>
      <c r="C12" s="19"/>
      <c r="D12" s="20">
        <f t="shared" ref="D12:G12" si="3">SUM(D9:D11)</f>
        <v>28</v>
      </c>
      <c r="E12" s="18">
        <f t="shared" si="3"/>
        <v>28</v>
      </c>
      <c r="F12" s="39">
        <f t="shared" si="0"/>
        <v>1</v>
      </c>
      <c r="G12" s="18">
        <f t="shared" si="3"/>
        <v>22</v>
      </c>
      <c r="H12" s="39">
        <f t="shared" si="1"/>
        <v>0.785714285714286</v>
      </c>
      <c r="I12" s="2"/>
      <c r="J12" s="2"/>
      <c r="K12" s="2"/>
      <c r="L12" s="3"/>
      <c r="M12" s="3"/>
      <c r="N12" s="2"/>
      <c r="O12" s="2"/>
      <c r="P12" s="2"/>
      <c r="Q12" s="2"/>
      <c r="R12" s="4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="1" customFormat="1" customHeight="1" spans="1:33">
      <c r="A13" s="15"/>
      <c r="B13" s="11" t="s">
        <v>20</v>
      </c>
      <c r="C13" s="13" t="s">
        <v>21</v>
      </c>
      <c r="D13" s="14">
        <f>VLOOKUP(C13,[1]战队汇总透视!C:D,2,FALSE)</f>
        <v>14</v>
      </c>
      <c r="E13" s="37">
        <f>VLOOKUP(C13,[1]战队汇总透视!M:N,2,0)</f>
        <v>13</v>
      </c>
      <c r="F13" s="38">
        <f t="shared" si="0"/>
        <v>0.928571428571429</v>
      </c>
      <c r="G13" s="37">
        <f>VLOOKUP(C13,[1]战队汇总透视!H:I,2,0)</f>
        <v>9</v>
      </c>
      <c r="H13" s="38">
        <f t="shared" si="1"/>
        <v>0.642857142857143</v>
      </c>
      <c r="I13" s="2"/>
      <c r="J13" s="2"/>
      <c r="K13" s="2"/>
      <c r="L13" s="3"/>
      <c r="M13" s="3"/>
      <c r="N13" s="2"/>
      <c r="O13" s="2"/>
      <c r="P13" s="2"/>
      <c r="Q13" s="2"/>
      <c r="R13" s="4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="1" customFormat="1" customHeight="1" spans="1:33">
      <c r="A14" s="15"/>
      <c r="B14" s="11"/>
      <c r="C14" s="13" t="s">
        <v>22</v>
      </c>
      <c r="D14" s="14">
        <f>VLOOKUP(C14,[1]战队汇总透视!C:D,2,FALSE)</f>
        <v>9</v>
      </c>
      <c r="E14" s="37">
        <f>VLOOKUP(C14,[1]战队汇总透视!M:N,2,0)</f>
        <v>8</v>
      </c>
      <c r="F14" s="38">
        <f t="shared" si="0"/>
        <v>0.888888888888889</v>
      </c>
      <c r="G14" s="37">
        <f>VLOOKUP(C14,[1]战队汇总透视!H:I,2,0)</f>
        <v>6</v>
      </c>
      <c r="H14" s="38">
        <f t="shared" si="1"/>
        <v>0.666666666666667</v>
      </c>
      <c r="I14" s="2"/>
      <c r="J14" s="2"/>
      <c r="K14" s="2"/>
      <c r="L14" s="3"/>
      <c r="M14" s="3"/>
      <c r="N14" s="2"/>
      <c r="O14" s="2"/>
      <c r="P14" s="2"/>
      <c r="Q14" s="2"/>
      <c r="R14" s="4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="1" customFormat="1" customHeight="1" spans="1:33">
      <c r="A15" s="15"/>
      <c r="B15" s="21" t="s">
        <v>23</v>
      </c>
      <c r="C15" s="19"/>
      <c r="D15" s="20">
        <f ca="1">SUM(D13:D14:D13)</f>
        <v>23</v>
      </c>
      <c r="E15" s="18">
        <f>SUM(E13:E14)</f>
        <v>21</v>
      </c>
      <c r="F15" s="39">
        <f ca="1" t="shared" si="0"/>
        <v>0.91304347826087</v>
      </c>
      <c r="G15" s="18">
        <f>SUM(G13:G14)</f>
        <v>15</v>
      </c>
      <c r="H15" s="39">
        <f ca="1" t="shared" si="1"/>
        <v>0.652173913043478</v>
      </c>
      <c r="I15" s="2"/>
      <c r="J15" s="2"/>
      <c r="K15" s="2"/>
      <c r="L15" s="3"/>
      <c r="M15" s="3"/>
      <c r="N15" s="2"/>
      <c r="O15" s="2"/>
      <c r="P15" s="2"/>
      <c r="Q15" s="2"/>
      <c r="R15" s="4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="1" customFormat="1" customHeight="1" spans="1:33">
      <c r="A16" s="15"/>
      <c r="B16" s="22" t="s">
        <v>24</v>
      </c>
      <c r="C16" s="23" t="s">
        <v>25</v>
      </c>
      <c r="D16" s="14">
        <f>VLOOKUP(C16,[1]战队汇总透视!C:D,2,FALSE)</f>
        <v>7</v>
      </c>
      <c r="E16" s="14">
        <f>VLOOKUP(C16,[1]战队汇总透视!M:N,2,0)</f>
        <v>7</v>
      </c>
      <c r="F16" s="38">
        <f t="shared" si="0"/>
        <v>1</v>
      </c>
      <c r="G16" s="14">
        <f>VLOOKUP(C16,[1]战队汇总透视!H:I,2,0)</f>
        <v>4</v>
      </c>
      <c r="H16" s="38">
        <f t="shared" si="1"/>
        <v>0.571428571428571</v>
      </c>
      <c r="I16" s="2"/>
      <c r="J16" s="2"/>
      <c r="K16" s="2"/>
      <c r="L16" s="3"/>
      <c r="M16" s="3"/>
      <c r="N16" s="2"/>
      <c r="O16" s="2"/>
      <c r="P16" s="2"/>
      <c r="Q16" s="2"/>
      <c r="R16" s="4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="1" customFormat="1" customHeight="1" spans="1:33">
      <c r="A17" s="15"/>
      <c r="B17" s="16"/>
      <c r="C17" s="13" t="s">
        <v>26</v>
      </c>
      <c r="D17" s="14">
        <f>VLOOKUP(C17,[1]战队汇总透视!C:D,2,0)</f>
        <v>5</v>
      </c>
      <c r="E17" s="14">
        <f>VLOOKUP(C17,[1]战队汇总透视!M:N,2,0)</f>
        <v>5</v>
      </c>
      <c r="F17" s="38">
        <f t="shared" si="0"/>
        <v>1</v>
      </c>
      <c r="G17" s="14">
        <f>VLOOKUP(C17,[1]战队汇总透视!H:I,2,0)</f>
        <v>5</v>
      </c>
      <c r="H17" s="38">
        <f t="shared" si="1"/>
        <v>1</v>
      </c>
      <c r="I17" s="2"/>
      <c r="J17" s="2"/>
      <c r="K17" s="2"/>
      <c r="L17" s="3"/>
      <c r="M17" s="3"/>
      <c r="N17" s="2"/>
      <c r="O17" s="2"/>
      <c r="P17" s="2"/>
      <c r="Q17" s="2"/>
      <c r="R17" s="4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="1" customFormat="1" customHeight="1" spans="1:33">
      <c r="A18" s="15"/>
      <c r="B18" s="17"/>
      <c r="C18" s="24" t="s">
        <v>27</v>
      </c>
      <c r="D18" s="14">
        <f>VLOOKUP(C18,[1]战队汇总透视!C:D,2,0)</f>
        <v>4</v>
      </c>
      <c r="E18" s="14">
        <f>VLOOKUP(C18,[1]战队汇总透视!M:N,2,0)</f>
        <v>3</v>
      </c>
      <c r="F18" s="38">
        <f t="shared" si="0"/>
        <v>0.75</v>
      </c>
      <c r="G18" s="14">
        <f>VLOOKUP(C18,[1]战队汇总透视!H:I,2,0)</f>
        <v>1</v>
      </c>
      <c r="H18" s="38">
        <f t="shared" si="1"/>
        <v>0.25</v>
      </c>
      <c r="I18" s="2"/>
      <c r="J18" s="2"/>
      <c r="K18" s="2"/>
      <c r="L18" s="3"/>
      <c r="M18" s="3"/>
      <c r="N18" s="2"/>
      <c r="O18" s="2"/>
      <c r="P18" s="2"/>
      <c r="Q18" s="2"/>
      <c r="R18" s="4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="1" customFormat="1" customHeight="1" spans="1:33">
      <c r="A19" s="6"/>
      <c r="B19" s="21" t="s">
        <v>28</v>
      </c>
      <c r="C19" s="25"/>
      <c r="D19" s="26">
        <f t="shared" ref="D19:G19" si="4">SUM(D16:D18)</f>
        <v>16</v>
      </c>
      <c r="E19" s="26">
        <f t="shared" si="4"/>
        <v>15</v>
      </c>
      <c r="F19" s="39">
        <f t="shared" si="0"/>
        <v>0.9375</v>
      </c>
      <c r="G19" s="26">
        <f t="shared" si="4"/>
        <v>10</v>
      </c>
      <c r="H19" s="39">
        <f t="shared" si="1"/>
        <v>0.625</v>
      </c>
      <c r="I19" s="2"/>
      <c r="J19" s="2"/>
      <c r="K19" s="2"/>
      <c r="L19" s="3"/>
      <c r="M19" s="3"/>
      <c r="N19" s="2"/>
      <c r="O19" s="2"/>
      <c r="P19" s="2"/>
      <c r="Q19" s="2"/>
      <c r="R19" s="4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="1" customFormat="1" customHeight="1" spans="1:33">
      <c r="A20" s="26" t="s">
        <v>29</v>
      </c>
      <c r="B20" s="26"/>
      <c r="C20" s="26"/>
      <c r="D20" s="26">
        <f ca="1" t="shared" ref="D20:G20" si="5">SUM(D8,D12,D15,D19)</f>
        <v>83</v>
      </c>
      <c r="E20" s="26">
        <f t="shared" si="5"/>
        <v>80</v>
      </c>
      <c r="F20" s="39">
        <f ca="1" t="shared" si="0"/>
        <v>0.963855421686747</v>
      </c>
      <c r="G20" s="26">
        <f t="shared" si="5"/>
        <v>62</v>
      </c>
      <c r="H20" s="39">
        <f ca="1" t="shared" si="1"/>
        <v>0.746987951807229</v>
      </c>
      <c r="I20" s="2"/>
      <c r="J20" s="2"/>
      <c r="K20" s="2"/>
      <c r="L20" s="3"/>
      <c r="M20" s="3"/>
      <c r="N20" s="2"/>
      <c r="O20" s="2"/>
      <c r="P20" s="2"/>
      <c r="Q20" s="2"/>
      <c r="R20" s="4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="1" customFormat="1" customHeight="1" spans="1:33">
      <c r="A21" s="27"/>
      <c r="B21" s="27"/>
      <c r="C21" s="27"/>
      <c r="D21" s="27"/>
      <c r="E21" s="27"/>
      <c r="F21" s="40"/>
      <c r="G21" s="27"/>
      <c r="H21" s="40"/>
      <c r="I21" s="2"/>
      <c r="J21" s="2"/>
      <c r="K21" s="2"/>
      <c r="L21" s="3"/>
      <c r="M21" s="3"/>
      <c r="N21" s="2"/>
      <c r="O21" s="2"/>
      <c r="P21" s="2"/>
      <c r="Q21" s="2"/>
      <c r="R21" s="4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="1" customFormat="1" customHeight="1" spans="1:33">
      <c r="A22" s="2"/>
      <c r="B22" s="3"/>
      <c r="C22" s="3"/>
      <c r="D22" s="3"/>
      <c r="E22" s="3"/>
      <c r="F22" s="3"/>
      <c r="G22" s="3"/>
      <c r="H22" s="3"/>
      <c r="I22" s="2"/>
      <c r="J22" s="2"/>
      <c r="K22" s="2"/>
      <c r="L22" s="3"/>
      <c r="M22" s="3"/>
      <c r="N22" s="2"/>
      <c r="O22" s="2"/>
      <c r="P22" s="2"/>
      <c r="Q22" s="2"/>
      <c r="R22" s="4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="1" customFormat="1" customHeight="1" spans="1:33">
      <c r="A23" s="2"/>
      <c r="B23" s="3"/>
      <c r="C23" s="2"/>
      <c r="D23" s="3"/>
      <c r="E23" s="3"/>
      <c r="F23" s="41"/>
      <c r="G23" s="3"/>
      <c r="H23" s="41"/>
      <c r="I23" s="2"/>
      <c r="J23" s="2"/>
      <c r="K23" s="2"/>
      <c r="L23" s="3"/>
      <c r="M23" s="3"/>
      <c r="N23" s="2"/>
      <c r="O23" s="2"/>
      <c r="P23" s="2"/>
      <c r="Q23" s="2"/>
      <c r="R23" s="4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="1" customFormat="1" customHeight="1" spans="1:33">
      <c r="A24" s="2"/>
      <c r="B24" s="3"/>
      <c r="C24" s="2"/>
      <c r="D24" s="3"/>
      <c r="E24" s="3"/>
      <c r="F24" s="41"/>
      <c r="G24" s="3"/>
      <c r="H24" s="41"/>
      <c r="I24" s="2"/>
      <c r="J24" s="2"/>
      <c r="K24" s="2"/>
      <c r="L24" s="3"/>
      <c r="M24" s="3"/>
      <c r="N24" s="2"/>
      <c r="O24" s="2"/>
      <c r="P24" s="2"/>
      <c r="Q24" s="2"/>
      <c r="R24" s="4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="1" customFormat="1" customHeight="1" spans="1:33">
      <c r="A25" s="2"/>
      <c r="B25" s="3"/>
      <c r="C25" s="2"/>
      <c r="D25" s="3"/>
      <c r="E25" s="3"/>
      <c r="F25" s="41"/>
      <c r="G25" s="3"/>
      <c r="H25" s="41"/>
      <c r="I25" s="2"/>
      <c r="J25" s="2"/>
      <c r="K25" s="2"/>
      <c r="L25" s="3"/>
      <c r="M25" s="3"/>
      <c r="N25" s="2"/>
      <c r="O25" s="2"/>
      <c r="P25" s="2"/>
      <c r="Q25" s="2"/>
      <c r="R25" s="4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="1" customFormat="1" customHeight="1" spans="1:33">
      <c r="A26" s="2"/>
      <c r="B26" s="3"/>
      <c r="C26" s="2"/>
      <c r="D26" s="3"/>
      <c r="E26" s="3"/>
      <c r="F26" s="41"/>
      <c r="G26" s="3"/>
      <c r="H26" s="41"/>
      <c r="I26" s="2"/>
      <c r="J26" s="2"/>
      <c r="K26" s="2"/>
      <c r="L26" s="3"/>
      <c r="M26" s="3"/>
      <c r="N26" s="2"/>
      <c r="O26" s="2"/>
      <c r="P26" s="2"/>
      <c r="Q26" s="2"/>
      <c r="R26" s="4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="1" customFormat="1" customHeight="1" spans="1:33">
      <c r="A27" s="2"/>
      <c r="B27" s="3"/>
      <c r="C27" s="2"/>
      <c r="D27" s="3"/>
      <c r="E27" s="3"/>
      <c r="F27" s="41"/>
      <c r="G27" s="3"/>
      <c r="H27" s="41"/>
      <c r="I27" s="2"/>
      <c r="J27" s="2"/>
      <c r="K27" s="2"/>
      <c r="L27" s="3"/>
      <c r="M27" s="3"/>
      <c r="N27" s="2"/>
      <c r="O27" s="2"/>
      <c r="P27" s="2"/>
      <c r="Q27" s="2"/>
      <c r="R27" s="4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="1" customFormat="1" customHeight="1" spans="1:33">
      <c r="A28" s="2"/>
      <c r="B28" s="3"/>
      <c r="C28" s="2"/>
      <c r="D28" s="3"/>
      <c r="E28" s="3"/>
      <c r="F28" s="41"/>
      <c r="G28" s="3"/>
      <c r="H28" s="41"/>
      <c r="I28" s="2"/>
      <c r="J28" s="2"/>
      <c r="K28" s="2"/>
      <c r="L28" s="3"/>
      <c r="M28" s="3"/>
      <c r="N28" s="2"/>
      <c r="O28" s="2"/>
      <c r="P28" s="2"/>
      <c r="Q28" s="2"/>
      <c r="R28" s="4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="1" customFormat="1" customHeight="1" spans="1:33">
      <c r="A29" s="2"/>
      <c r="B29" s="3"/>
      <c r="C29" s="2"/>
      <c r="D29" s="3"/>
      <c r="E29" s="3"/>
      <c r="F29" s="41"/>
      <c r="G29" s="3"/>
      <c r="H29" s="41"/>
      <c r="I29" s="2"/>
      <c r="J29" s="2"/>
      <c r="K29" s="2"/>
      <c r="L29" s="3"/>
      <c r="M29" s="3"/>
      <c r="N29" s="2"/>
      <c r="O29" s="2"/>
      <c r="P29" s="2"/>
      <c r="Q29" s="2"/>
      <c r="R29" s="4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="1" customFormat="1" customHeight="1" spans="1:33">
      <c r="A30" s="2"/>
      <c r="B30" s="3"/>
      <c r="C30" s="2"/>
      <c r="D30" s="3"/>
      <c r="E30" s="3"/>
      <c r="F30" s="41"/>
      <c r="G30" s="3"/>
      <c r="H30" s="41"/>
      <c r="I30" s="2"/>
      <c r="J30" s="2"/>
      <c r="K30" s="2"/>
      <c r="L30" s="3"/>
      <c r="M30" s="3"/>
      <c r="N30" s="2"/>
      <c r="O30" s="2"/>
      <c r="P30" s="2"/>
      <c r="Q30" s="2"/>
      <c r="R30" s="4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="1" customFormat="1" customHeight="1" spans="1:33">
      <c r="A31" s="2"/>
      <c r="B31" s="3"/>
      <c r="C31" s="3"/>
      <c r="D31" s="3"/>
      <c r="E31" s="3"/>
      <c r="F31" s="3"/>
      <c r="G31" s="3"/>
      <c r="H31" s="3"/>
      <c r="I31" s="2"/>
      <c r="J31" s="2"/>
      <c r="K31" s="2"/>
      <c r="L31" s="3"/>
      <c r="M31" s="3"/>
      <c r="N31" s="2"/>
      <c r="O31" s="2"/>
      <c r="P31" s="2"/>
      <c r="Q31" s="2"/>
      <c r="R31" s="4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="1" customFormat="1" customHeight="1" spans="1:33">
      <c r="A32" s="2"/>
      <c r="B32" s="3"/>
      <c r="C32" s="3"/>
      <c r="D32" s="3"/>
      <c r="E32" s="3"/>
      <c r="F32" s="3"/>
      <c r="G32" s="3"/>
      <c r="H32" s="3"/>
      <c r="I32" s="2"/>
      <c r="J32" s="2"/>
      <c r="K32" s="2"/>
      <c r="L32" s="3"/>
      <c r="M32" s="3"/>
      <c r="N32" s="2"/>
      <c r="O32" s="2"/>
      <c r="P32" s="2"/>
      <c r="Q32" s="2"/>
      <c r="R32" s="4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="1" customFormat="1" customHeight="1" spans="1:33">
      <c r="A33" s="2"/>
      <c r="B33" s="3"/>
      <c r="C33" s="3"/>
      <c r="D33" s="3"/>
      <c r="E33" s="3"/>
      <c r="F33" s="3"/>
      <c r="G33" s="3"/>
      <c r="H33" s="3"/>
      <c r="I33" s="2"/>
      <c r="J33" s="2"/>
      <c r="K33" s="2"/>
      <c r="L33" s="3"/>
      <c r="M33" s="3"/>
      <c r="N33" s="2"/>
      <c r="O33" s="2"/>
      <c r="P33" s="2"/>
      <c r="Q33" s="2"/>
      <c r="R33" s="4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="1" customFormat="1" customHeight="1" spans="1:33">
      <c r="A34" s="2"/>
      <c r="B34" s="3"/>
      <c r="C34" s="3"/>
      <c r="D34" s="3"/>
      <c r="E34" s="3"/>
      <c r="F34" s="3"/>
      <c r="G34" s="3"/>
      <c r="H34" s="3"/>
      <c r="I34" s="2"/>
      <c r="J34" s="2"/>
      <c r="K34" s="2"/>
      <c r="L34" s="3"/>
      <c r="M34" s="3"/>
      <c r="N34" s="2"/>
      <c r="O34" s="2"/>
      <c r="P34" s="2"/>
      <c r="Q34" s="2"/>
      <c r="R34" s="4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="1" customFormat="1" customHeight="1" spans="1:33">
      <c r="A35" s="2"/>
      <c r="B35" s="3"/>
      <c r="C35" s="3"/>
      <c r="D35" s="3"/>
      <c r="E35" s="3"/>
      <c r="F35" s="3"/>
      <c r="G35" s="3"/>
      <c r="H35" s="3"/>
      <c r="I35" s="2"/>
      <c r="J35" s="2"/>
      <c r="K35" s="2"/>
      <c r="L35" s="3"/>
      <c r="M35" s="3"/>
      <c r="N35" s="2"/>
      <c r="O35" s="2"/>
      <c r="P35" s="2"/>
      <c r="Q35" s="2"/>
      <c r="R35" s="4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="1" customFormat="1" customHeight="1" spans="1:33">
      <c r="A36" s="2"/>
      <c r="B36" s="3"/>
      <c r="C36" s="3"/>
      <c r="D36" s="3"/>
      <c r="E36" s="3"/>
      <c r="F36" s="3"/>
      <c r="G36" s="3"/>
      <c r="H36" s="3"/>
      <c r="I36" s="2"/>
      <c r="J36" s="2"/>
      <c r="K36" s="2"/>
      <c r="L36" s="3"/>
      <c r="M36" s="3"/>
      <c r="N36" s="2"/>
      <c r="O36" s="2"/>
      <c r="P36" s="2"/>
      <c r="Q36" s="2"/>
      <c r="R36" s="4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="1" customFormat="1" customHeight="1" spans="1:33">
      <c r="A37" s="2"/>
      <c r="B37" s="3"/>
      <c r="C37" s="3"/>
      <c r="D37" s="3"/>
      <c r="E37" s="3"/>
      <c r="F37" s="3"/>
      <c r="G37" s="3"/>
      <c r="H37" s="3"/>
      <c r="I37" s="2"/>
      <c r="J37" s="2"/>
      <c r="K37" s="2"/>
      <c r="L37" s="3"/>
      <c r="M37" s="3"/>
      <c r="N37" s="2"/>
      <c r="O37" s="2"/>
      <c r="P37" s="2"/>
      <c r="Q37" s="2"/>
      <c r="R37" s="4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="1" customFormat="1" customHeight="1" spans="1:33">
      <c r="A38" s="2"/>
      <c r="B38" s="3"/>
      <c r="C38" s="3"/>
      <c r="D38" s="3"/>
      <c r="E38" s="3"/>
      <c r="F38" s="3"/>
      <c r="G38" s="3"/>
      <c r="H38" s="3"/>
      <c r="I38" s="2"/>
      <c r="J38" s="2"/>
      <c r="K38" s="2"/>
      <c r="L38" s="3"/>
      <c r="M38" s="3"/>
      <c r="N38" s="2"/>
      <c r="O38" s="2"/>
      <c r="P38" s="2"/>
      <c r="Q38" s="2"/>
      <c r="R38" s="4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="1" customFormat="1" customHeight="1" spans="1:33">
      <c r="A39" s="2"/>
      <c r="B39" s="3"/>
      <c r="C39" s="3"/>
      <c r="D39" s="3"/>
      <c r="E39" s="3"/>
      <c r="F39" s="3"/>
      <c r="G39" s="3"/>
      <c r="H39" s="3"/>
      <c r="I39" s="2"/>
      <c r="J39" s="2"/>
      <c r="K39" s="2"/>
      <c r="L39" s="3"/>
      <c r="M39" s="3"/>
      <c r="N39" s="2"/>
      <c r="O39" s="2"/>
      <c r="P39" s="2"/>
      <c r="Q39" s="2"/>
      <c r="R39" s="4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="1" customFormat="1" customHeight="1" spans="1:33">
      <c r="A40" s="2"/>
      <c r="B40" s="3"/>
      <c r="C40" s="3"/>
      <c r="D40" s="3"/>
      <c r="E40" s="3"/>
      <c r="F40" s="3"/>
      <c r="G40" s="3"/>
      <c r="H40" s="3"/>
      <c r="I40" s="2"/>
      <c r="J40" s="2"/>
      <c r="K40" s="2"/>
      <c r="L40" s="3"/>
      <c r="M40" s="3"/>
      <c r="N40" s="2"/>
      <c r="O40" s="2"/>
      <c r="P40" s="2"/>
      <c r="Q40" s="2"/>
      <c r="R40" s="4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="1" customFormat="1" customHeight="1" spans="1:33">
      <c r="A41" s="2"/>
      <c r="B41" s="3"/>
      <c r="C41" s="3"/>
      <c r="D41" s="3"/>
      <c r="E41" s="3"/>
      <c r="F41" s="3"/>
      <c r="G41" s="3"/>
      <c r="H41" s="3"/>
      <c r="I41" s="2"/>
      <c r="J41" s="2"/>
      <c r="K41" s="2"/>
      <c r="L41" s="3"/>
      <c r="M41" s="3"/>
      <c r="N41" s="2"/>
      <c r="O41" s="2"/>
      <c r="P41" s="2"/>
      <c r="Q41" s="2"/>
      <c r="R41" s="4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="1" customFormat="1" customHeight="1" spans="1:33">
      <c r="A42" s="2"/>
      <c r="B42" s="3"/>
      <c r="C42" s="3"/>
      <c r="D42" s="3"/>
      <c r="E42" s="3"/>
      <c r="F42" s="3"/>
      <c r="G42" s="3"/>
      <c r="H42" s="3"/>
      <c r="I42" s="2"/>
      <c r="J42" s="2"/>
      <c r="K42" s="2"/>
      <c r="L42" s="3"/>
      <c r="M42" s="3"/>
      <c r="N42" s="2"/>
      <c r="O42" s="2"/>
      <c r="P42" s="2"/>
      <c r="Q42" s="2"/>
      <c r="R42" s="4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="1" customFormat="1" customHeight="1" spans="1:33">
      <c r="A43" s="2"/>
      <c r="B43" s="3"/>
      <c r="C43" s="3"/>
      <c r="D43" s="3"/>
      <c r="E43" s="3"/>
      <c r="F43" s="3"/>
      <c r="G43" s="3"/>
      <c r="H43" s="3"/>
      <c r="I43" s="2"/>
      <c r="J43" s="2"/>
      <c r="K43" s="2"/>
      <c r="L43" s="3"/>
      <c r="M43" s="3"/>
      <c r="N43" s="2"/>
      <c r="O43" s="2"/>
      <c r="P43" s="2"/>
      <c r="Q43" s="2"/>
      <c r="R43" s="4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="1" customFormat="1" customHeight="1" spans="1:33">
      <c r="A44" s="2"/>
      <c r="B44" s="3"/>
      <c r="C44" s="3"/>
      <c r="D44" s="3"/>
      <c r="E44" s="3"/>
      <c r="F44" s="3"/>
      <c r="G44" s="3"/>
      <c r="H44" s="3"/>
      <c r="I44" s="2"/>
      <c r="J44" s="2"/>
      <c r="K44" s="2"/>
      <c r="L44" s="3"/>
      <c r="M44" s="3"/>
      <c r="N44" s="2"/>
      <c r="O44" s="2"/>
      <c r="P44" s="2"/>
      <c r="Q44" s="2"/>
      <c r="R44" s="4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="1" customFormat="1" customHeight="1" spans="1:33">
      <c r="A45" s="2"/>
      <c r="B45" s="3"/>
      <c r="C45" s="3"/>
      <c r="D45" s="3"/>
      <c r="E45" s="3"/>
      <c r="F45" s="3"/>
      <c r="G45" s="3"/>
      <c r="H45" s="3"/>
      <c r="I45" s="2"/>
      <c r="J45" s="2"/>
      <c r="K45" s="2"/>
      <c r="L45" s="3"/>
      <c r="M45" s="3"/>
      <c r="N45" s="2"/>
      <c r="O45" s="2"/>
      <c r="P45" s="2"/>
      <c r="Q45" s="2"/>
      <c r="R45" s="4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="1" customFormat="1" customHeight="1" spans="1:33">
      <c r="A46" s="2"/>
      <c r="B46" s="3"/>
      <c r="C46" s="3"/>
      <c r="D46" s="3"/>
      <c r="E46" s="3"/>
      <c r="F46" s="3"/>
      <c r="G46" s="3"/>
      <c r="H46" s="3"/>
      <c r="I46" s="2"/>
      <c r="J46" s="2"/>
      <c r="K46" s="2"/>
      <c r="L46" s="3"/>
      <c r="M46" s="3"/>
      <c r="N46" s="2"/>
      <c r="O46" s="2"/>
      <c r="P46" s="2"/>
      <c r="Q46" s="2"/>
      <c r="R46" s="4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="1" customFormat="1" customHeight="1" spans="1:33">
      <c r="A47" s="2"/>
      <c r="B47" s="3"/>
      <c r="C47" s="3"/>
      <c r="D47" s="3"/>
      <c r="E47" s="3"/>
      <c r="F47" s="3"/>
      <c r="G47" s="3"/>
      <c r="H47" s="3"/>
      <c r="I47" s="2"/>
      <c r="J47" s="2"/>
      <c r="K47" s="2"/>
      <c r="L47" s="3"/>
      <c r="M47" s="3"/>
      <c r="N47" s="2"/>
      <c r="O47" s="2"/>
      <c r="P47" s="2"/>
      <c r="Q47" s="2"/>
      <c r="R47" s="4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="1" customFormat="1" customHeight="1" spans="1:33">
      <c r="A48" s="2"/>
      <c r="B48" s="3"/>
      <c r="C48" s="3"/>
      <c r="D48" s="3"/>
      <c r="E48" s="3"/>
      <c r="F48" s="3"/>
      <c r="G48" s="3"/>
      <c r="H48" s="3"/>
      <c r="I48" s="2"/>
      <c r="J48" s="2"/>
      <c r="K48" s="2"/>
      <c r="L48" s="3"/>
      <c r="M48" s="3"/>
      <c r="N48" s="2"/>
      <c r="O48" s="2"/>
      <c r="P48" s="2"/>
      <c r="Q48" s="2"/>
      <c r="R48" s="4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="1" customFormat="1" customHeight="1" spans="1:33">
      <c r="A49" s="2"/>
      <c r="B49" s="3"/>
      <c r="C49" s="3"/>
      <c r="D49" s="3"/>
      <c r="E49" s="3"/>
      <c r="F49" s="3"/>
      <c r="G49" s="3"/>
      <c r="H49" s="3"/>
      <c r="I49" s="2"/>
      <c r="J49" s="2"/>
      <c r="K49" s="2"/>
      <c r="L49" s="3"/>
      <c r="M49" s="3"/>
      <c r="N49" s="2"/>
      <c r="O49" s="2"/>
      <c r="P49" s="2"/>
      <c r="Q49" s="2"/>
      <c r="R49" s="4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="1" customFormat="1" customHeight="1" spans="1:33">
      <c r="A50" s="2"/>
      <c r="B50" s="3"/>
      <c r="C50" s="3"/>
      <c r="D50" s="3"/>
      <c r="E50" s="3"/>
      <c r="F50" s="3"/>
      <c r="G50" s="3"/>
      <c r="H50" s="3"/>
      <c r="I50" s="2"/>
      <c r="J50" s="2"/>
      <c r="K50" s="2"/>
      <c r="L50" s="3"/>
      <c r="M50" s="3"/>
      <c r="N50" s="2"/>
      <c r="O50" s="2"/>
      <c r="P50" s="2"/>
      <c r="Q50" s="2"/>
      <c r="R50" s="4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="1" customFormat="1" customHeight="1" spans="1:33">
      <c r="A51" s="2"/>
      <c r="B51" s="3"/>
      <c r="C51" s="3"/>
      <c r="D51" s="3"/>
      <c r="E51" s="3"/>
      <c r="F51" s="3"/>
      <c r="G51" s="3"/>
      <c r="H51" s="3"/>
      <c r="I51" s="2"/>
      <c r="J51" s="2"/>
      <c r="K51" s="2"/>
      <c r="L51" s="3"/>
      <c r="M51" s="3"/>
      <c r="N51" s="2"/>
      <c r="O51" s="2"/>
      <c r="P51" s="2"/>
      <c r="Q51" s="2"/>
      <c r="R51" s="4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="1" customFormat="1" customHeight="1" spans="1:33">
      <c r="A52" s="2"/>
      <c r="B52" s="3"/>
      <c r="C52" s="3"/>
      <c r="D52" s="3"/>
      <c r="E52" s="3"/>
      <c r="F52" s="3"/>
      <c r="G52" s="3"/>
      <c r="H52" s="3"/>
      <c r="I52" s="2"/>
      <c r="J52" s="2"/>
      <c r="K52" s="2"/>
      <c r="L52" s="3"/>
      <c r="M52" s="3"/>
      <c r="N52" s="2"/>
      <c r="O52" s="2"/>
      <c r="P52" s="2"/>
      <c r="Q52" s="2"/>
      <c r="R52" s="4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="1" customFormat="1" customHeight="1" spans="1:33">
      <c r="A53" s="2"/>
      <c r="B53" s="3"/>
      <c r="C53" s="3"/>
      <c r="D53" s="3"/>
      <c r="E53" s="3"/>
      <c r="F53" s="3"/>
      <c r="G53" s="3"/>
      <c r="H53" s="3"/>
      <c r="I53" s="2"/>
      <c r="J53" s="2"/>
      <c r="K53" s="2"/>
      <c r="L53" s="3"/>
      <c r="M53" s="3"/>
      <c r="N53" s="2"/>
      <c r="O53" s="2"/>
      <c r="P53" s="2"/>
      <c r="Q53" s="2"/>
      <c r="R53" s="4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="1" customFormat="1" customHeight="1" spans="1:33">
      <c r="A54" s="2"/>
      <c r="B54" s="3"/>
      <c r="C54" s="3"/>
      <c r="D54" s="3"/>
      <c r="E54" s="3"/>
      <c r="F54" s="3"/>
      <c r="G54" s="3"/>
      <c r="H54" s="3"/>
      <c r="I54" s="2"/>
      <c r="J54" s="2"/>
      <c r="K54" s="2"/>
      <c r="L54" s="3"/>
      <c r="M54" s="3"/>
      <c r="N54" s="2"/>
      <c r="O54" s="2"/>
      <c r="P54" s="2"/>
      <c r="Q54" s="2"/>
      <c r="R54" s="4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="1" customFormat="1" customHeight="1" spans="1:33">
      <c r="A55" s="2"/>
      <c r="B55" s="3"/>
      <c r="C55" s="3"/>
      <c r="D55" s="3"/>
      <c r="E55" s="3"/>
      <c r="F55" s="3"/>
      <c r="G55" s="3"/>
      <c r="H55" s="3"/>
      <c r="I55" s="2"/>
      <c r="J55" s="2"/>
      <c r="K55" s="2"/>
      <c r="L55" s="3"/>
      <c r="M55" s="3"/>
      <c r="N55" s="2"/>
      <c r="O55" s="2"/>
      <c r="P55" s="2"/>
      <c r="Q55" s="2"/>
      <c r="R55" s="4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="1" customFormat="1" customHeight="1" spans="1:33">
      <c r="A56" s="2"/>
      <c r="B56" s="3"/>
      <c r="C56" s="3"/>
      <c r="D56" s="3"/>
      <c r="E56" s="3"/>
      <c r="F56" s="3"/>
      <c r="G56" s="3"/>
      <c r="H56" s="3"/>
      <c r="I56" s="2"/>
      <c r="J56" s="2"/>
      <c r="K56" s="2"/>
      <c r="L56" s="3"/>
      <c r="M56" s="3"/>
      <c r="N56" s="2"/>
      <c r="O56" s="2"/>
      <c r="P56" s="2"/>
      <c r="Q56" s="2"/>
      <c r="R56" s="4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="1" customFormat="1" customHeight="1" spans="1:33">
      <c r="A57" s="2"/>
      <c r="B57" s="3"/>
      <c r="C57" s="3"/>
      <c r="D57" s="3"/>
      <c r="E57" s="3"/>
      <c r="F57" s="3"/>
      <c r="G57" s="3"/>
      <c r="H57" s="3"/>
      <c r="I57" s="2"/>
      <c r="J57" s="2"/>
      <c r="K57" s="2"/>
      <c r="L57" s="3"/>
      <c r="M57" s="3"/>
      <c r="N57" s="2"/>
      <c r="O57" s="2"/>
      <c r="P57" s="2"/>
      <c r="Q57" s="2"/>
      <c r="R57" s="4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="1" customFormat="1" customHeight="1" spans="1:33">
      <c r="A58" s="2"/>
      <c r="B58" s="3"/>
      <c r="C58" s="3"/>
      <c r="D58" s="3"/>
      <c r="E58" s="3"/>
      <c r="F58" s="3"/>
      <c r="G58" s="3"/>
      <c r="H58" s="3"/>
      <c r="I58" s="2"/>
      <c r="J58" s="2"/>
      <c r="K58" s="2"/>
      <c r="L58" s="3"/>
      <c r="M58" s="3"/>
      <c r="N58" s="2"/>
      <c r="O58" s="2"/>
      <c r="P58" s="2"/>
      <c r="Q58" s="2"/>
      <c r="R58" s="4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="1" customFormat="1" customHeight="1" spans="1:33">
      <c r="A59" s="2"/>
      <c r="B59" s="3"/>
      <c r="C59" s="3"/>
      <c r="D59" s="3"/>
      <c r="E59" s="3"/>
      <c r="F59" s="3"/>
      <c r="G59" s="3"/>
      <c r="H59" s="3"/>
      <c r="I59" s="2"/>
      <c r="J59" s="2"/>
      <c r="K59" s="2"/>
      <c r="L59" s="3"/>
      <c r="M59" s="3"/>
      <c r="N59" s="2"/>
      <c r="O59" s="2"/>
      <c r="P59" s="2"/>
      <c r="Q59" s="2"/>
      <c r="R59" s="4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="1" customFormat="1" customHeight="1" spans="1:33">
      <c r="A60" s="2"/>
      <c r="B60" s="3"/>
      <c r="C60" s="3"/>
      <c r="D60" s="3"/>
      <c r="E60" s="3"/>
      <c r="F60" s="3"/>
      <c r="G60" s="3"/>
      <c r="H60" s="3"/>
      <c r="I60" s="2"/>
      <c r="J60" s="2"/>
      <c r="K60" s="2"/>
      <c r="L60" s="3"/>
      <c r="M60" s="3"/>
      <c r="N60" s="2"/>
      <c r="O60" s="2"/>
      <c r="P60" s="2"/>
      <c r="Q60" s="2"/>
      <c r="R60" s="4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="1" customFormat="1" customHeight="1" spans="1:33">
      <c r="A61" s="2"/>
      <c r="B61" s="3"/>
      <c r="C61" s="3"/>
      <c r="D61" s="3"/>
      <c r="E61" s="3"/>
      <c r="F61" s="3"/>
      <c r="G61" s="3"/>
      <c r="H61" s="3"/>
      <c r="I61" s="2"/>
      <c r="J61" s="2"/>
      <c r="K61" s="2"/>
      <c r="L61" s="3"/>
      <c r="M61" s="3"/>
      <c r="N61" s="2"/>
      <c r="O61" s="2"/>
      <c r="P61" s="2"/>
      <c r="Q61" s="2"/>
      <c r="R61" s="4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="1" customFormat="1" customHeight="1" spans="1:33">
      <c r="A62" s="2"/>
      <c r="B62" s="3"/>
      <c r="C62" s="3"/>
      <c r="D62" s="3"/>
      <c r="E62" s="3"/>
      <c r="F62" s="3"/>
      <c r="G62" s="3"/>
      <c r="H62" s="3"/>
      <c r="I62" s="2"/>
      <c r="J62" s="2"/>
      <c r="K62" s="2"/>
      <c r="L62" s="3"/>
      <c r="M62" s="3"/>
      <c r="N62" s="2"/>
      <c r="O62" s="2"/>
      <c r="P62" s="2"/>
      <c r="Q62" s="2"/>
      <c r="R62" s="4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="1" customFormat="1" customHeight="1" spans="1:33">
      <c r="A63" s="2"/>
      <c r="B63" s="3"/>
      <c r="C63" s="3"/>
      <c r="D63" s="3"/>
      <c r="E63" s="3"/>
      <c r="F63" s="3"/>
      <c r="G63" s="3"/>
      <c r="H63" s="3"/>
      <c r="I63" s="2"/>
      <c r="J63" s="2"/>
      <c r="K63" s="2"/>
      <c r="L63" s="3"/>
      <c r="M63" s="3"/>
      <c r="N63" s="2"/>
      <c r="O63" s="2"/>
      <c r="P63" s="2"/>
      <c r="Q63" s="2"/>
      <c r="R63" s="4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="1" customFormat="1" customHeight="1" spans="1:33">
      <c r="A64" s="2"/>
      <c r="B64" s="3"/>
      <c r="C64" s="3"/>
      <c r="D64" s="3"/>
      <c r="E64" s="3"/>
      <c r="F64" s="3"/>
      <c r="G64" s="3"/>
      <c r="H64" s="3"/>
      <c r="I64" s="2"/>
      <c r="J64" s="2"/>
      <c r="K64" s="2"/>
      <c r="L64" s="3"/>
      <c r="M64" s="3"/>
      <c r="N64" s="2"/>
      <c r="O64" s="2"/>
      <c r="P64" s="2"/>
      <c r="Q64" s="2"/>
      <c r="R64" s="4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="1" customFormat="1" customHeight="1" spans="1:33">
      <c r="A65" s="2"/>
      <c r="B65" s="3"/>
      <c r="C65" s="3"/>
      <c r="D65" s="3"/>
      <c r="E65" s="3"/>
      <c r="F65" s="3"/>
      <c r="G65" s="3"/>
      <c r="H65" s="3"/>
      <c r="I65" s="2"/>
      <c r="J65" s="2"/>
      <c r="K65" s="2"/>
      <c r="L65" s="3"/>
      <c r="M65" s="3"/>
      <c r="N65" s="2"/>
      <c r="O65" s="2"/>
      <c r="P65" s="2"/>
      <c r="Q65" s="2"/>
      <c r="R65" s="4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="1" customFormat="1" customHeight="1" spans="1:33">
      <c r="A66" s="2"/>
      <c r="B66" s="3"/>
      <c r="C66" s="3"/>
      <c r="D66" s="3"/>
      <c r="E66" s="3"/>
      <c r="F66" s="3"/>
      <c r="G66" s="3"/>
      <c r="H66" s="3"/>
      <c r="I66" s="2"/>
      <c r="J66" s="2"/>
      <c r="K66" s="2"/>
      <c r="L66" s="3"/>
      <c r="M66" s="3"/>
      <c r="N66" s="2"/>
      <c r="O66" s="2"/>
      <c r="P66" s="2"/>
      <c r="Q66" s="2"/>
      <c r="R66" s="4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="1" customFormat="1" customHeight="1" spans="1:33">
      <c r="A67" s="2"/>
      <c r="B67" s="3"/>
      <c r="C67" s="3"/>
      <c r="D67" s="3"/>
      <c r="E67" s="3"/>
      <c r="F67" s="3"/>
      <c r="G67" s="3"/>
      <c r="H67" s="3"/>
      <c r="I67" s="2"/>
      <c r="J67" s="2"/>
      <c r="K67" s="2"/>
      <c r="L67" s="3"/>
      <c r="M67" s="3"/>
      <c r="N67" s="2"/>
      <c r="O67" s="2"/>
      <c r="P67" s="2"/>
      <c r="Q67" s="2"/>
      <c r="R67" s="4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="1" customFormat="1" customHeight="1" spans="1:33">
      <c r="A68" s="2"/>
      <c r="B68" s="3"/>
      <c r="C68" s="3"/>
      <c r="D68" s="3"/>
      <c r="E68" s="3"/>
      <c r="F68" s="3"/>
      <c r="G68" s="3"/>
      <c r="H68" s="3"/>
      <c r="I68" s="2"/>
      <c r="J68" s="2"/>
      <c r="K68" s="2"/>
      <c r="L68" s="3"/>
      <c r="M68" s="3"/>
      <c r="N68" s="2"/>
      <c r="O68" s="2"/>
      <c r="P68" s="2"/>
      <c r="Q68" s="2"/>
      <c r="R68" s="4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="1" customFormat="1" customHeight="1" spans="1:33">
      <c r="A69" s="2"/>
      <c r="B69" s="3"/>
      <c r="C69" s="3"/>
      <c r="D69" s="3"/>
      <c r="E69" s="3"/>
      <c r="F69" s="3"/>
      <c r="G69" s="3"/>
      <c r="H69" s="3"/>
      <c r="I69" s="2"/>
      <c r="J69" s="2"/>
      <c r="K69" s="2"/>
      <c r="L69" s="3"/>
      <c r="M69" s="3"/>
      <c r="N69" s="2"/>
      <c r="O69" s="2"/>
      <c r="P69" s="2"/>
      <c r="Q69" s="2"/>
      <c r="R69" s="4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="1" customFormat="1" customHeight="1" spans="1:33">
      <c r="A70" s="2"/>
      <c r="B70" s="3"/>
      <c r="C70" s="3"/>
      <c r="D70" s="3"/>
      <c r="E70" s="3"/>
      <c r="F70" s="3"/>
      <c r="G70" s="3"/>
      <c r="H70" s="3"/>
      <c r="I70" s="2"/>
      <c r="J70" s="2"/>
      <c r="K70" s="2"/>
      <c r="L70" s="3"/>
      <c r="M70" s="3"/>
      <c r="N70" s="2"/>
      <c r="O70" s="2"/>
      <c r="P70" s="2"/>
      <c r="Q70" s="2"/>
      <c r="R70" s="4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="1" customFormat="1" customHeight="1" spans="1:33">
      <c r="A71" s="2"/>
      <c r="B71" s="3"/>
      <c r="C71" s="3"/>
      <c r="D71" s="3"/>
      <c r="E71" s="3"/>
      <c r="F71" s="3"/>
      <c r="G71" s="3"/>
      <c r="H71" s="3"/>
      <c r="I71" s="2"/>
      <c r="J71" s="2"/>
      <c r="K71" s="2"/>
      <c r="L71" s="3"/>
      <c r="M71" s="3"/>
      <c r="N71" s="2"/>
      <c r="O71" s="2"/>
      <c r="P71" s="2"/>
      <c r="Q71" s="2"/>
      <c r="R71" s="4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="1" customFormat="1" customHeight="1" spans="1:33">
      <c r="A72" s="2"/>
      <c r="B72" s="3"/>
      <c r="C72" s="3"/>
      <c r="D72" s="3"/>
      <c r="E72" s="3"/>
      <c r="F72" s="3"/>
      <c r="G72" s="3"/>
      <c r="H72" s="3"/>
      <c r="I72" s="2"/>
      <c r="J72" s="2"/>
      <c r="K72" s="2"/>
      <c r="L72" s="3"/>
      <c r="M72" s="3"/>
      <c r="N72" s="2"/>
      <c r="O72" s="2"/>
      <c r="P72" s="2"/>
      <c r="Q72" s="2"/>
      <c r="R72" s="4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="1" customFormat="1" customHeight="1" spans="1:33">
      <c r="A73" s="2"/>
      <c r="B73" s="3"/>
      <c r="C73" s="3"/>
      <c r="D73" s="3"/>
      <c r="E73" s="3"/>
      <c r="F73" s="3"/>
      <c r="G73" s="3"/>
      <c r="H73" s="3"/>
      <c r="I73" s="2"/>
      <c r="J73" s="2"/>
      <c r="K73" s="2"/>
      <c r="L73" s="3"/>
      <c r="M73" s="3"/>
      <c r="N73" s="2"/>
      <c r="O73" s="2"/>
      <c r="P73" s="2"/>
      <c r="Q73" s="2"/>
      <c r="R73" s="4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="1" customFormat="1" customHeight="1" spans="1:33">
      <c r="A74" s="2"/>
      <c r="B74" s="3"/>
      <c r="C74" s="3"/>
      <c r="D74" s="3"/>
      <c r="E74" s="3"/>
      <c r="F74" s="3"/>
      <c r="G74" s="3"/>
      <c r="H74" s="3"/>
      <c r="I74" s="2"/>
      <c r="J74" s="2"/>
      <c r="K74" s="2"/>
      <c r="L74" s="3"/>
      <c r="M74" s="3"/>
      <c r="N74" s="2"/>
      <c r="O74" s="2"/>
      <c r="P74" s="2"/>
      <c r="Q74" s="2"/>
      <c r="R74" s="4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="1" customFormat="1" customHeight="1" spans="1:33">
      <c r="A75" s="2"/>
      <c r="B75" s="3"/>
      <c r="C75" s="3"/>
      <c r="D75" s="3"/>
      <c r="E75" s="3"/>
      <c r="F75" s="3"/>
      <c r="G75" s="3"/>
      <c r="H75" s="3"/>
      <c r="I75" s="2"/>
      <c r="J75" s="2"/>
      <c r="K75" s="2"/>
      <c r="L75" s="3"/>
      <c r="M75" s="3"/>
      <c r="N75" s="2"/>
      <c r="O75" s="2"/>
      <c r="P75" s="2"/>
      <c r="Q75" s="2"/>
      <c r="R75" s="4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="1" customFormat="1" customHeight="1" spans="1:33">
      <c r="A76" s="2"/>
      <c r="B76" s="3"/>
      <c r="C76" s="3"/>
      <c r="D76" s="3"/>
      <c r="E76" s="3"/>
      <c r="F76" s="3"/>
      <c r="G76" s="3"/>
      <c r="H76" s="3"/>
      <c r="I76" s="2"/>
      <c r="J76" s="2"/>
      <c r="K76" s="2"/>
      <c r="L76" s="3"/>
      <c r="M76" s="3"/>
      <c r="N76" s="2"/>
      <c r="O76" s="2"/>
      <c r="P76" s="2"/>
      <c r="Q76" s="2"/>
      <c r="R76" s="4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="1" customFormat="1" customHeight="1" spans="1:33">
      <c r="A77" s="2"/>
      <c r="B77" s="3"/>
      <c r="C77" s="3"/>
      <c r="D77" s="3"/>
      <c r="E77" s="3"/>
      <c r="F77" s="3"/>
      <c r="G77" s="3"/>
      <c r="H77" s="3"/>
      <c r="I77" s="2"/>
      <c r="J77" s="2"/>
      <c r="K77" s="2"/>
      <c r="L77" s="3"/>
      <c r="M77" s="3"/>
      <c r="N77" s="2"/>
      <c r="O77" s="2"/>
      <c r="P77" s="2"/>
      <c r="Q77" s="2"/>
      <c r="R77" s="4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="1" customFormat="1" customHeight="1" spans="1:33">
      <c r="A78" s="2"/>
      <c r="B78" s="3"/>
      <c r="C78" s="3"/>
      <c r="D78" s="3"/>
      <c r="E78" s="3"/>
      <c r="F78" s="3"/>
      <c r="G78" s="3"/>
      <c r="H78" s="3"/>
      <c r="I78" s="2"/>
      <c r="J78" s="2"/>
      <c r="K78" s="2"/>
      <c r="L78" s="3"/>
      <c r="M78" s="3"/>
      <c r="N78" s="2"/>
      <c r="O78" s="2"/>
      <c r="P78" s="2"/>
      <c r="Q78" s="2"/>
      <c r="R78" s="4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="1" customFormat="1" customHeight="1" spans="1:33">
      <c r="A79" s="2"/>
      <c r="B79" s="3"/>
      <c r="C79" s="3"/>
      <c r="D79" s="3"/>
      <c r="E79" s="3"/>
      <c r="F79" s="3"/>
      <c r="G79" s="3"/>
      <c r="H79" s="3"/>
      <c r="I79" s="2"/>
      <c r="J79" s="2"/>
      <c r="K79" s="2"/>
      <c r="L79" s="3"/>
      <c r="M79" s="3"/>
      <c r="N79" s="2"/>
      <c r="O79" s="2"/>
      <c r="P79" s="2"/>
      <c r="Q79" s="2"/>
      <c r="R79" s="4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="1" customFormat="1" customHeight="1" spans="1:33">
      <c r="A80" s="2"/>
      <c r="B80" s="3"/>
      <c r="C80" s="3"/>
      <c r="D80" s="3"/>
      <c r="E80" s="3"/>
      <c r="F80" s="3"/>
      <c r="G80" s="3"/>
      <c r="H80" s="3"/>
      <c r="I80" s="2"/>
      <c r="J80" s="2"/>
      <c r="K80" s="2"/>
      <c r="L80" s="3"/>
      <c r="M80" s="3"/>
      <c r="N80" s="2"/>
      <c r="O80" s="2"/>
      <c r="P80" s="2"/>
      <c r="Q80" s="2"/>
      <c r="R80" s="4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="1" customFormat="1" customHeight="1" spans="1:33">
      <c r="A81" s="2"/>
      <c r="B81" s="3"/>
      <c r="C81" s="3"/>
      <c r="D81" s="3"/>
      <c r="E81" s="3"/>
      <c r="F81" s="3"/>
      <c r="G81" s="3"/>
      <c r="H81" s="3"/>
      <c r="I81" s="2"/>
      <c r="J81" s="2"/>
      <c r="K81" s="2"/>
      <c r="L81" s="3"/>
      <c r="M81" s="3"/>
      <c r="N81" s="2"/>
      <c r="O81" s="2"/>
      <c r="P81" s="2"/>
      <c r="Q81" s="2"/>
      <c r="R81" s="4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="1" customFormat="1" customHeight="1" spans="1:33">
      <c r="A82" s="2"/>
      <c r="B82" s="3"/>
      <c r="C82" s="3"/>
      <c r="D82" s="3"/>
      <c r="E82" s="3"/>
      <c r="F82" s="3"/>
      <c r="G82" s="3"/>
      <c r="H82" s="3"/>
      <c r="I82" s="2"/>
      <c r="J82" s="2"/>
      <c r="K82" s="2"/>
      <c r="L82" s="3"/>
      <c r="M82" s="3"/>
      <c r="N82" s="2"/>
      <c r="O82" s="2"/>
      <c r="P82" s="2"/>
      <c r="Q82" s="2"/>
      <c r="R82" s="4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="1" customFormat="1" customHeight="1" spans="1:33">
      <c r="A83" s="2"/>
      <c r="B83" s="3"/>
      <c r="C83" s="3"/>
      <c r="D83" s="3"/>
      <c r="E83" s="3"/>
      <c r="F83" s="3"/>
      <c r="G83" s="3"/>
      <c r="H83" s="3"/>
      <c r="I83" s="2"/>
      <c r="J83" s="2"/>
      <c r="K83" s="2"/>
      <c r="L83" s="3"/>
      <c r="M83" s="3"/>
      <c r="N83" s="2"/>
      <c r="O83" s="2"/>
      <c r="P83" s="2"/>
      <c r="Q83" s="2"/>
      <c r="R83" s="4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="1" customFormat="1" customHeight="1" spans="1:33">
      <c r="A84" s="2"/>
      <c r="B84" s="3"/>
      <c r="C84" s="3"/>
      <c r="D84" s="3"/>
      <c r="E84" s="3"/>
      <c r="F84" s="3"/>
      <c r="G84" s="3"/>
      <c r="H84" s="3"/>
      <c r="I84" s="2"/>
      <c r="J84" s="2"/>
      <c r="K84" s="2"/>
      <c r="L84" s="3"/>
      <c r="M84" s="3"/>
      <c r="N84" s="2"/>
      <c r="O84" s="2"/>
      <c r="P84" s="2"/>
      <c r="Q84" s="2"/>
      <c r="R84" s="4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="1" customFormat="1" customHeight="1" spans="1:33">
      <c r="A85" s="2"/>
      <c r="B85" s="3"/>
      <c r="C85" s="3"/>
      <c r="D85" s="3"/>
      <c r="E85" s="3"/>
      <c r="F85" s="3"/>
      <c r="G85" s="3"/>
      <c r="H85" s="3"/>
      <c r="I85" s="2"/>
      <c r="J85" s="2"/>
      <c r="K85" s="2"/>
      <c r="L85" s="3"/>
      <c r="M85" s="3"/>
      <c r="N85" s="2"/>
      <c r="O85" s="2"/>
      <c r="P85" s="2"/>
      <c r="Q85" s="2"/>
      <c r="R85" s="4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="1" customFormat="1" customHeight="1" spans="1:33">
      <c r="A86" s="2"/>
      <c r="B86" s="3"/>
      <c r="C86" s="3"/>
      <c r="D86" s="3"/>
      <c r="E86" s="3"/>
      <c r="F86" s="3"/>
      <c r="G86" s="3"/>
      <c r="H86" s="3"/>
      <c r="I86" s="2"/>
      <c r="J86" s="2"/>
      <c r="K86" s="2"/>
      <c r="L86" s="3"/>
      <c r="M86" s="3"/>
      <c r="N86" s="2"/>
      <c r="O86" s="2"/>
      <c r="P86" s="2"/>
      <c r="Q86" s="2"/>
      <c r="R86" s="4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="1" customFormat="1" customHeight="1" spans="1:33">
      <c r="A87" s="2"/>
      <c r="B87" s="3"/>
      <c r="C87" s="3"/>
      <c r="D87" s="3"/>
      <c r="E87" s="3"/>
      <c r="F87" s="3"/>
      <c r="G87" s="3"/>
      <c r="H87" s="3"/>
      <c r="I87" s="2"/>
      <c r="J87" s="2"/>
      <c r="K87" s="2"/>
      <c r="L87" s="3"/>
      <c r="M87" s="3"/>
      <c r="N87" s="2"/>
      <c r="O87" s="2"/>
      <c r="P87" s="2"/>
      <c r="Q87" s="2"/>
      <c r="R87" s="4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="1" customFormat="1" customHeight="1" spans="1:33">
      <c r="A88" s="2"/>
      <c r="B88" s="3"/>
      <c r="C88" s="3"/>
      <c r="D88" s="3"/>
      <c r="E88" s="3"/>
      <c r="F88" s="3"/>
      <c r="G88" s="3"/>
      <c r="H88" s="3"/>
      <c r="I88" s="2"/>
      <c r="J88" s="2"/>
      <c r="K88" s="2"/>
      <c r="L88" s="3"/>
      <c r="M88" s="3"/>
      <c r="N88" s="2"/>
      <c r="O88" s="2"/>
      <c r="P88" s="2"/>
      <c r="Q88" s="2"/>
      <c r="R88" s="4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="1" customFormat="1" customHeight="1" spans="1:33">
      <c r="A89" s="2"/>
      <c r="B89" s="3"/>
      <c r="C89" s="3"/>
      <c r="D89" s="3"/>
      <c r="E89" s="3"/>
      <c r="F89" s="3"/>
      <c r="G89" s="3"/>
      <c r="H89" s="3"/>
      <c r="I89" s="2"/>
      <c r="J89" s="2"/>
      <c r="K89" s="2"/>
      <c r="L89" s="3"/>
      <c r="M89" s="3"/>
      <c r="N89" s="2"/>
      <c r="O89" s="2"/>
      <c r="P89" s="2"/>
      <c r="Q89" s="2"/>
      <c r="R89" s="4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="1" customFormat="1" customHeight="1" spans="1:33">
      <c r="A90" s="2"/>
      <c r="B90" s="3"/>
      <c r="C90" s="3"/>
      <c r="D90" s="3"/>
      <c r="E90" s="3"/>
      <c r="F90" s="3"/>
      <c r="G90" s="3"/>
      <c r="H90" s="3"/>
      <c r="I90" s="2"/>
      <c r="J90" s="2"/>
      <c r="K90" s="2"/>
      <c r="L90" s="3"/>
      <c r="M90" s="3"/>
      <c r="N90" s="2"/>
      <c r="O90" s="2"/>
      <c r="P90" s="2"/>
      <c r="Q90" s="2"/>
      <c r="R90" s="4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="1" customFormat="1" customHeight="1" spans="1:33">
      <c r="A91" s="2"/>
      <c r="B91" s="3"/>
      <c r="C91" s="3"/>
      <c r="D91" s="3"/>
      <c r="E91" s="3"/>
      <c r="F91" s="3"/>
      <c r="G91" s="3"/>
      <c r="H91" s="3"/>
      <c r="I91" s="2"/>
      <c r="J91" s="2"/>
      <c r="K91" s="2"/>
      <c r="L91" s="3"/>
      <c r="M91" s="3"/>
      <c r="N91" s="2"/>
      <c r="O91" s="2"/>
      <c r="P91" s="2"/>
      <c r="Q91" s="2"/>
      <c r="R91" s="4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="1" customFormat="1" customHeight="1" spans="1:33">
      <c r="A92" s="2"/>
      <c r="B92" s="3"/>
      <c r="C92" s="3"/>
      <c r="D92" s="3"/>
      <c r="E92" s="3"/>
      <c r="F92" s="3"/>
      <c r="G92" s="3"/>
      <c r="H92" s="3"/>
      <c r="I92" s="2"/>
      <c r="J92" s="2"/>
      <c r="K92" s="2"/>
      <c r="L92" s="3"/>
      <c r="M92" s="3"/>
      <c r="N92" s="2"/>
      <c r="O92" s="2"/>
      <c r="P92" s="2"/>
      <c r="Q92" s="2"/>
      <c r="R92" s="4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="1" customFormat="1" customHeight="1" spans="1:33">
      <c r="A93" s="2"/>
      <c r="B93" s="3"/>
      <c r="C93" s="3"/>
      <c r="D93" s="3"/>
      <c r="E93" s="3"/>
      <c r="F93" s="3"/>
      <c r="G93" s="3"/>
      <c r="H93" s="3"/>
      <c r="I93" s="2"/>
      <c r="J93" s="2"/>
      <c r="K93" s="2"/>
      <c r="L93" s="3"/>
      <c r="M93" s="3"/>
      <c r="N93" s="2"/>
      <c r="O93" s="2"/>
      <c r="P93" s="2"/>
      <c r="Q93" s="2"/>
      <c r="R93" s="4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="1" customFormat="1" customHeight="1" spans="1:33">
      <c r="A94" s="2"/>
      <c r="B94" s="3"/>
      <c r="C94" s="3"/>
      <c r="D94" s="3"/>
      <c r="E94" s="3"/>
      <c r="F94" s="3"/>
      <c r="G94" s="3"/>
      <c r="H94" s="3"/>
      <c r="I94" s="2"/>
      <c r="J94" s="2"/>
      <c r="K94" s="2"/>
      <c r="L94" s="3"/>
      <c r="M94" s="3"/>
      <c r="N94" s="2"/>
      <c r="O94" s="2"/>
      <c r="P94" s="2"/>
      <c r="Q94" s="2"/>
      <c r="R94" s="4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="1" customFormat="1" customHeight="1" spans="1:33">
      <c r="A95" s="2"/>
      <c r="B95" s="3"/>
      <c r="C95" s="3"/>
      <c r="D95" s="3"/>
      <c r="E95" s="3"/>
      <c r="F95" s="3"/>
      <c r="G95" s="3"/>
      <c r="H95" s="3"/>
      <c r="I95" s="2"/>
      <c r="J95" s="2"/>
      <c r="K95" s="2"/>
      <c r="L95" s="3"/>
      <c r="M95" s="3"/>
      <c r="N95" s="2"/>
      <c r="O95" s="2"/>
      <c r="P95" s="2"/>
      <c r="Q95" s="2"/>
      <c r="R95" s="4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="1" customFormat="1" customHeight="1" spans="1:33">
      <c r="A96" s="2"/>
      <c r="B96" s="3"/>
      <c r="C96" s="3"/>
      <c r="D96" s="3"/>
      <c r="E96" s="3"/>
      <c r="F96" s="3"/>
      <c r="G96" s="3"/>
      <c r="H96" s="3"/>
      <c r="I96" s="2"/>
      <c r="J96" s="2"/>
      <c r="K96" s="2"/>
      <c r="L96" s="3"/>
      <c r="M96" s="3"/>
      <c r="N96" s="2"/>
      <c r="O96" s="2"/>
      <c r="P96" s="2"/>
      <c r="Q96" s="2"/>
      <c r="R96" s="4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="1" customFormat="1" customHeight="1" spans="1:33">
      <c r="A97" s="2"/>
      <c r="B97" s="3"/>
      <c r="C97" s="3"/>
      <c r="D97" s="3"/>
      <c r="E97" s="3"/>
      <c r="F97" s="3"/>
      <c r="G97" s="3"/>
      <c r="H97" s="3"/>
      <c r="I97" s="2"/>
      <c r="J97" s="2"/>
      <c r="K97" s="2"/>
      <c r="L97" s="3"/>
      <c r="M97" s="3"/>
      <c r="N97" s="2"/>
      <c r="O97" s="2"/>
      <c r="P97" s="2"/>
      <c r="Q97" s="2"/>
      <c r="R97" s="4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="1" customFormat="1" customHeight="1" spans="1:33">
      <c r="A98" s="2"/>
      <c r="B98" s="3"/>
      <c r="C98" s="3"/>
      <c r="D98" s="3"/>
      <c r="E98" s="3"/>
      <c r="F98" s="3"/>
      <c r="G98" s="3"/>
      <c r="H98" s="3"/>
      <c r="I98" s="2"/>
      <c r="J98" s="2"/>
      <c r="K98" s="2"/>
      <c r="L98" s="3"/>
      <c r="M98" s="3"/>
      <c r="N98" s="2"/>
      <c r="O98" s="2"/>
      <c r="P98" s="2"/>
      <c r="Q98" s="2"/>
      <c r="R98" s="4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="1" customFormat="1" customHeight="1" spans="1:33">
      <c r="A99" s="2"/>
      <c r="B99" s="3"/>
      <c r="C99" s="3"/>
      <c r="D99" s="3"/>
      <c r="E99" s="3"/>
      <c r="F99" s="3"/>
      <c r="G99" s="3"/>
      <c r="H99" s="3"/>
      <c r="I99" s="2"/>
      <c r="J99" s="2"/>
      <c r="K99" s="2"/>
      <c r="L99" s="3"/>
      <c r="M99" s="3"/>
      <c r="N99" s="2"/>
      <c r="O99" s="2"/>
      <c r="P99" s="2"/>
      <c r="Q99" s="2"/>
      <c r="R99" s="4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="1" customFormat="1" customHeight="1" spans="1:33">
      <c r="A100" s="2"/>
      <c r="B100" s="3"/>
      <c r="C100" s="3"/>
      <c r="D100" s="3"/>
      <c r="E100" s="3"/>
      <c r="F100" s="3"/>
      <c r="G100" s="3"/>
      <c r="H100" s="3"/>
      <c r="I100" s="2"/>
      <c r="J100" s="2"/>
      <c r="K100" s="2"/>
      <c r="L100" s="3"/>
      <c r="M100" s="3"/>
      <c r="N100" s="2"/>
      <c r="O100" s="2"/>
      <c r="P100" s="2"/>
      <c r="Q100" s="2"/>
      <c r="R100" s="4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="1" customFormat="1" customHeight="1" spans="1:33">
      <c r="A101" s="2"/>
      <c r="B101" s="3"/>
      <c r="C101" s="3"/>
      <c r="D101" s="3"/>
      <c r="E101" s="3"/>
      <c r="F101" s="3"/>
      <c r="G101" s="3"/>
      <c r="H101" s="3"/>
      <c r="I101" s="2"/>
      <c r="J101" s="2"/>
      <c r="K101" s="2"/>
      <c r="L101" s="3"/>
      <c r="M101" s="3"/>
      <c r="N101" s="2"/>
      <c r="O101" s="2"/>
      <c r="P101" s="2"/>
      <c r="Q101" s="2"/>
      <c r="R101" s="4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="1" customFormat="1" customHeight="1" spans="1:33">
      <c r="A102" s="2"/>
      <c r="B102" s="3"/>
      <c r="C102" s="3"/>
      <c r="D102" s="3"/>
      <c r="E102" s="3"/>
      <c r="F102" s="3"/>
      <c r="G102" s="3"/>
      <c r="H102" s="3"/>
      <c r="I102" s="2"/>
      <c r="J102" s="2"/>
      <c r="K102" s="2"/>
      <c r="L102" s="3"/>
      <c r="M102" s="3"/>
      <c r="N102" s="2"/>
      <c r="O102" s="2"/>
      <c r="P102" s="2"/>
      <c r="Q102" s="2"/>
      <c r="R102" s="4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="1" customFormat="1" customHeight="1" spans="1:33">
      <c r="A103" s="2"/>
      <c r="B103" s="3"/>
      <c r="C103" s="3"/>
      <c r="D103" s="3"/>
      <c r="E103" s="3"/>
      <c r="F103" s="3"/>
      <c r="G103" s="3"/>
      <c r="H103" s="3"/>
      <c r="I103" s="2"/>
      <c r="J103" s="2"/>
      <c r="K103" s="2"/>
      <c r="L103" s="3"/>
      <c r="M103" s="3"/>
      <c r="N103" s="2"/>
      <c r="O103" s="2"/>
      <c r="P103" s="2"/>
      <c r="Q103" s="2"/>
      <c r="R103" s="4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="1" customFormat="1" customHeight="1" spans="1:33">
      <c r="A104" s="2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3"/>
      <c r="M104" s="3"/>
      <c r="N104" s="2"/>
      <c r="O104" s="2"/>
      <c r="P104" s="2"/>
      <c r="Q104" s="2"/>
      <c r="R104" s="4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="1" customFormat="1" customHeight="1" spans="1:33">
      <c r="A105" s="2"/>
      <c r="B105" s="3"/>
      <c r="C105" s="3"/>
      <c r="D105" s="3"/>
      <c r="E105" s="3"/>
      <c r="F105" s="3"/>
      <c r="G105" s="3"/>
      <c r="H105" s="3"/>
      <c r="I105" s="2"/>
      <c r="J105" s="2"/>
      <c r="K105" s="2"/>
      <c r="L105" s="3"/>
      <c r="M105" s="3"/>
      <c r="N105" s="2"/>
      <c r="O105" s="2"/>
      <c r="P105" s="2"/>
      <c r="Q105" s="2"/>
      <c r="R105" s="4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="1" customFormat="1" customHeight="1" spans="1:33">
      <c r="A106" s="2"/>
      <c r="B106" s="3"/>
      <c r="C106" s="3"/>
      <c r="D106" s="3"/>
      <c r="E106" s="3"/>
      <c r="F106" s="3"/>
      <c r="G106" s="3"/>
      <c r="H106" s="3"/>
      <c r="I106" s="2"/>
      <c r="J106" s="2"/>
      <c r="K106" s="2"/>
      <c r="L106" s="3"/>
      <c r="M106" s="3"/>
      <c r="N106" s="2"/>
      <c r="O106" s="2"/>
      <c r="P106" s="2"/>
      <c r="Q106" s="2"/>
      <c r="R106" s="4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="1" customFormat="1" customHeight="1" spans="1:33">
      <c r="A107" s="2"/>
      <c r="B107" s="3"/>
      <c r="C107" s="3"/>
      <c r="D107" s="3"/>
      <c r="E107" s="3"/>
      <c r="F107" s="3"/>
      <c r="G107" s="3"/>
      <c r="H107" s="3"/>
      <c r="I107" s="2"/>
      <c r="J107" s="2"/>
      <c r="K107" s="2"/>
      <c r="L107" s="3"/>
      <c r="M107" s="3"/>
      <c r="N107" s="2"/>
      <c r="O107" s="2"/>
      <c r="P107" s="2"/>
      <c r="Q107" s="2"/>
      <c r="R107" s="4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="1" customFormat="1" customHeight="1" spans="1:33">
      <c r="A108" s="2"/>
      <c r="B108" s="3"/>
      <c r="C108" s="3"/>
      <c r="D108" s="3"/>
      <c r="E108" s="3"/>
      <c r="F108" s="3"/>
      <c r="G108" s="3"/>
      <c r="H108" s="3"/>
      <c r="I108" s="2"/>
      <c r="J108" s="2"/>
      <c r="K108" s="2"/>
      <c r="L108" s="3"/>
      <c r="M108" s="3"/>
      <c r="N108" s="2"/>
      <c r="O108" s="2"/>
      <c r="P108" s="2"/>
      <c r="Q108" s="2"/>
      <c r="R108" s="4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="1" customFormat="1" customHeight="1" spans="1:33">
      <c r="A109" s="2"/>
      <c r="B109" s="3"/>
      <c r="C109" s="3"/>
      <c r="D109" s="3"/>
      <c r="E109" s="3"/>
      <c r="F109" s="3"/>
      <c r="G109" s="3"/>
      <c r="H109" s="3"/>
      <c r="I109" s="2"/>
      <c r="J109" s="2"/>
      <c r="K109" s="2"/>
      <c r="L109" s="3"/>
      <c r="M109" s="3"/>
      <c r="N109" s="2"/>
      <c r="O109" s="2"/>
      <c r="P109" s="2"/>
      <c r="Q109" s="2"/>
      <c r="R109" s="4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="1" customFormat="1" customHeight="1" spans="1:33">
      <c r="A110" s="2"/>
      <c r="B110" s="3"/>
      <c r="C110" s="3"/>
      <c r="D110" s="3"/>
      <c r="E110" s="3"/>
      <c r="F110" s="3"/>
      <c r="G110" s="3"/>
      <c r="H110" s="3"/>
      <c r="I110" s="2"/>
      <c r="J110" s="2"/>
      <c r="K110" s="2"/>
      <c r="L110" s="3"/>
      <c r="M110" s="3"/>
      <c r="N110" s="2"/>
      <c r="O110" s="2"/>
      <c r="P110" s="2"/>
      <c r="Q110" s="2"/>
      <c r="R110" s="4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="1" customFormat="1" customHeight="1" spans="1:33">
      <c r="A111" s="2"/>
      <c r="B111" s="3"/>
      <c r="C111" s="3"/>
      <c r="D111" s="3"/>
      <c r="E111" s="3"/>
      <c r="F111" s="3"/>
      <c r="G111" s="3"/>
      <c r="H111" s="3"/>
      <c r="I111" s="2"/>
      <c r="J111" s="2"/>
      <c r="K111" s="2"/>
      <c r="L111" s="3"/>
      <c r="M111" s="3"/>
      <c r="N111" s="2"/>
      <c r="O111" s="2"/>
      <c r="P111" s="2"/>
      <c r="Q111" s="2"/>
      <c r="R111" s="4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="1" customFormat="1" customHeight="1" spans="1:33">
      <c r="A112" s="2"/>
      <c r="B112" s="3"/>
      <c r="C112" s="3"/>
      <c r="D112" s="3"/>
      <c r="E112" s="3"/>
      <c r="F112" s="3"/>
      <c r="G112" s="3"/>
      <c r="H112" s="3"/>
      <c r="I112" s="2"/>
      <c r="J112" s="2"/>
      <c r="K112" s="2"/>
      <c r="L112" s="3"/>
      <c r="M112" s="3"/>
      <c r="N112" s="2"/>
      <c r="O112" s="2"/>
      <c r="P112" s="2"/>
      <c r="Q112" s="2"/>
      <c r="R112" s="4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="1" customFormat="1" customHeight="1" spans="1:33">
      <c r="A113" s="2"/>
      <c r="B113" s="3"/>
      <c r="C113" s="3"/>
      <c r="D113" s="3"/>
      <c r="E113" s="3"/>
      <c r="F113" s="3"/>
      <c r="G113" s="3"/>
      <c r="H113" s="3"/>
      <c r="I113" s="2"/>
      <c r="J113" s="2"/>
      <c r="K113" s="2"/>
      <c r="L113" s="3"/>
      <c r="M113" s="3"/>
      <c r="N113" s="2"/>
      <c r="O113" s="2"/>
      <c r="P113" s="2"/>
      <c r="Q113" s="2"/>
      <c r="R113" s="4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="1" customFormat="1" customHeight="1" spans="1:33">
      <c r="A114" s="2"/>
      <c r="B114" s="3"/>
      <c r="C114" s="3"/>
      <c r="D114" s="3"/>
      <c r="E114" s="3"/>
      <c r="F114" s="3"/>
      <c r="G114" s="3"/>
      <c r="H114" s="3"/>
      <c r="I114" s="2"/>
      <c r="J114" s="2"/>
      <c r="K114" s="2"/>
      <c r="L114" s="3"/>
      <c r="M114" s="3"/>
      <c r="N114" s="2"/>
      <c r="O114" s="2"/>
      <c r="P114" s="2"/>
      <c r="Q114" s="2"/>
      <c r="R114" s="4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="1" customFormat="1" customHeight="1" spans="1:33">
      <c r="A115" s="2"/>
      <c r="B115" s="3"/>
      <c r="C115" s="3"/>
      <c r="D115" s="3"/>
      <c r="E115" s="3"/>
      <c r="F115" s="3"/>
      <c r="G115" s="3"/>
      <c r="H115" s="3"/>
      <c r="I115" s="2"/>
      <c r="J115" s="2"/>
      <c r="K115" s="2"/>
      <c r="L115" s="3"/>
      <c r="M115" s="3"/>
      <c r="N115" s="2"/>
      <c r="O115" s="2"/>
      <c r="P115" s="2"/>
      <c r="Q115" s="2"/>
      <c r="R115" s="4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="1" customFormat="1" customHeight="1" spans="1:33">
      <c r="A116" s="2"/>
      <c r="B116" s="3"/>
      <c r="C116" s="3"/>
      <c r="D116" s="3"/>
      <c r="E116" s="3"/>
      <c r="F116" s="3"/>
      <c r="G116" s="3"/>
      <c r="H116" s="3"/>
      <c r="I116" s="2"/>
      <c r="J116" s="2"/>
      <c r="K116" s="2"/>
      <c r="L116" s="3"/>
      <c r="M116" s="3"/>
      <c r="N116" s="2"/>
      <c r="O116" s="2"/>
      <c r="P116" s="2"/>
      <c r="Q116" s="2"/>
      <c r="R116" s="4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="1" customFormat="1" customHeight="1" spans="1:33">
      <c r="A117" s="2"/>
      <c r="B117" s="3"/>
      <c r="C117" s="3"/>
      <c r="D117" s="3"/>
      <c r="E117" s="3"/>
      <c r="F117" s="3"/>
      <c r="G117" s="3"/>
      <c r="H117" s="3"/>
      <c r="I117" s="2"/>
      <c r="J117" s="2"/>
      <c r="K117" s="2"/>
      <c r="L117" s="3"/>
      <c r="M117" s="3"/>
      <c r="N117" s="2"/>
      <c r="O117" s="2"/>
      <c r="P117" s="2"/>
      <c r="Q117" s="2"/>
      <c r="R117" s="4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="1" customFormat="1" customHeight="1" spans="1:33">
      <c r="A118" s="2"/>
      <c r="B118" s="3"/>
      <c r="C118" s="3"/>
      <c r="D118" s="3"/>
      <c r="E118" s="3"/>
      <c r="F118" s="3"/>
      <c r="G118" s="3"/>
      <c r="H118" s="3"/>
      <c r="I118" s="2"/>
      <c r="J118" s="2"/>
      <c r="K118" s="43"/>
      <c r="L118" s="43"/>
      <c r="M118" s="43"/>
      <c r="N118" s="2"/>
      <c r="O118" s="2"/>
      <c r="P118" s="2"/>
      <c r="Q118" s="2"/>
      <c r="R118" s="4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="1" customFormat="1" customHeight="1" spans="1:33">
      <c r="A119" s="2"/>
      <c r="B119" s="3"/>
      <c r="C119" s="3"/>
      <c r="D119" s="3"/>
      <c r="E119" s="3"/>
      <c r="F119" s="3"/>
      <c r="G119" s="3"/>
      <c r="H119" s="3"/>
      <c r="I119" s="2"/>
      <c r="J119" s="2"/>
      <c r="K119" s="43"/>
      <c r="L119" s="43"/>
      <c r="M119" s="43"/>
      <c r="N119" s="2"/>
      <c r="O119" s="2"/>
      <c r="P119" s="2"/>
      <c r="Q119" s="2"/>
      <c r="R119" s="4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="1" customFormat="1" customHeight="1" spans="1:33">
      <c r="A120" s="2"/>
      <c r="B120" s="3"/>
      <c r="C120" s="3"/>
      <c r="D120" s="3"/>
      <c r="E120" s="3"/>
      <c r="F120" s="3"/>
      <c r="G120" s="3"/>
      <c r="H120" s="3"/>
      <c r="I120" s="2"/>
      <c r="J120" s="2"/>
      <c r="K120" s="43"/>
      <c r="L120" s="43"/>
      <c r="M120" s="43"/>
      <c r="N120" s="2"/>
      <c r="O120" s="2"/>
      <c r="P120" s="2"/>
      <c r="Q120" s="2"/>
      <c r="R120" s="4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="1" customFormat="1" customHeight="1" spans="1:33">
      <c r="A121" s="2"/>
      <c r="B121" s="3"/>
      <c r="C121" s="3"/>
      <c r="D121" s="3"/>
      <c r="E121" s="3"/>
      <c r="F121" s="3"/>
      <c r="G121" s="3"/>
      <c r="H121" s="3"/>
      <c r="I121" s="2"/>
      <c r="J121" s="2"/>
      <c r="K121" s="43"/>
      <c r="L121" s="43"/>
      <c r="M121" s="43"/>
      <c r="N121" s="2"/>
      <c r="O121" s="2"/>
      <c r="P121" s="2"/>
      <c r="Q121" s="2"/>
      <c r="R121" s="4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="1" customFormat="1" customHeight="1" spans="1:33">
      <c r="A122" s="2"/>
      <c r="B122" s="3"/>
      <c r="C122" s="3"/>
      <c r="D122" s="3"/>
      <c r="E122" s="3"/>
      <c r="F122" s="3"/>
      <c r="G122" s="3"/>
      <c r="H122" s="3"/>
      <c r="I122" s="2"/>
      <c r="J122" s="2"/>
      <c r="K122" s="43"/>
      <c r="L122" s="43"/>
      <c r="M122" s="43"/>
      <c r="N122" s="2"/>
      <c r="O122" s="2"/>
      <c r="P122" s="2"/>
      <c r="Q122" s="2"/>
      <c r="R122" s="4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="1" customFormat="1" customHeight="1" spans="1:33">
      <c r="A123" s="2"/>
      <c r="B123" s="3"/>
      <c r="C123" s="3"/>
      <c r="D123" s="3"/>
      <c r="E123" s="3"/>
      <c r="F123" s="3"/>
      <c r="G123" s="3"/>
      <c r="H123" s="3"/>
      <c r="I123" s="2"/>
      <c r="J123" s="2"/>
      <c r="K123" s="43"/>
      <c r="L123" s="43"/>
      <c r="M123" s="43"/>
      <c r="N123" s="2"/>
      <c r="O123" s="2"/>
      <c r="P123" s="2"/>
      <c r="Q123" s="2"/>
      <c r="R123" s="4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="1" customFormat="1" customHeight="1" spans="1:33">
      <c r="A124" s="2"/>
      <c r="B124" s="3"/>
      <c r="C124" s="3"/>
      <c r="D124" s="3"/>
      <c r="E124" s="3"/>
      <c r="F124" s="3"/>
      <c r="G124" s="3"/>
      <c r="H124" s="3"/>
      <c r="I124" s="2"/>
      <c r="J124" s="2"/>
      <c r="K124" s="43"/>
      <c r="L124" s="43"/>
      <c r="M124" s="43"/>
      <c r="N124" s="2"/>
      <c r="O124" s="2"/>
      <c r="P124" s="2"/>
      <c r="Q124" s="2"/>
      <c r="R124" s="4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="1" customFormat="1" customHeight="1" spans="1:33">
      <c r="A125" s="2"/>
      <c r="B125" s="3"/>
      <c r="C125" s="3"/>
      <c r="D125" s="3"/>
      <c r="E125" s="3"/>
      <c r="F125" s="3"/>
      <c r="G125" s="3"/>
      <c r="H125" s="3"/>
      <c r="I125" s="2"/>
      <c r="J125" s="2"/>
      <c r="K125" s="43"/>
      <c r="L125" s="43"/>
      <c r="M125" s="43"/>
      <c r="N125" s="2"/>
      <c r="O125" s="2"/>
      <c r="P125" s="2"/>
      <c r="Q125" s="2"/>
      <c r="R125" s="4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="1" customFormat="1" customHeight="1" spans="1:33">
      <c r="A126" s="2"/>
      <c r="B126" s="3"/>
      <c r="C126" s="3"/>
      <c r="D126" s="3"/>
      <c r="E126" s="3"/>
      <c r="F126" s="3"/>
      <c r="G126" s="3"/>
      <c r="H126" s="3"/>
      <c r="I126" s="2"/>
      <c r="J126" s="2"/>
      <c r="K126" s="43"/>
      <c r="L126" s="43"/>
      <c r="M126" s="43"/>
      <c r="N126" s="2"/>
      <c r="O126" s="2"/>
      <c r="P126" s="2"/>
      <c r="Q126" s="2"/>
      <c r="R126" s="4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="1" customFormat="1" customHeight="1" spans="1:33">
      <c r="A127" s="2"/>
      <c r="B127" s="3"/>
      <c r="C127" s="3"/>
      <c r="D127" s="3"/>
      <c r="E127" s="3"/>
      <c r="F127" s="3"/>
      <c r="G127" s="3"/>
      <c r="H127" s="3"/>
      <c r="I127" s="2"/>
      <c r="J127" s="2"/>
      <c r="K127" s="43"/>
      <c r="L127" s="43"/>
      <c r="M127" s="43"/>
      <c r="N127" s="2"/>
      <c r="O127" s="2"/>
      <c r="P127" s="2"/>
      <c r="Q127" s="2"/>
      <c r="R127" s="4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="1" customFormat="1" customHeight="1" spans="1:33">
      <c r="A128" s="2"/>
      <c r="B128" s="3"/>
      <c r="C128" s="3"/>
      <c r="D128" s="3"/>
      <c r="E128" s="3"/>
      <c r="F128" s="3"/>
      <c r="G128" s="3"/>
      <c r="H128" s="3"/>
      <c r="I128" s="2"/>
      <c r="J128" s="2"/>
      <c r="K128" s="43"/>
      <c r="L128" s="43"/>
      <c r="M128" s="43"/>
      <c r="N128" s="2"/>
      <c r="O128" s="2"/>
      <c r="P128" s="2"/>
      <c r="Q128" s="2"/>
      <c r="R128" s="4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="1" customFormat="1" customHeight="1" spans="1:33">
      <c r="A129" s="2"/>
      <c r="B129" s="3"/>
      <c r="C129" s="3"/>
      <c r="D129" s="3"/>
      <c r="E129" s="3"/>
      <c r="F129" s="3"/>
      <c r="G129" s="3"/>
      <c r="H129" s="3"/>
      <c r="I129" s="2"/>
      <c r="J129" s="2"/>
      <c r="K129" s="43"/>
      <c r="L129" s="43"/>
      <c r="M129" s="43"/>
      <c r="N129" s="2"/>
      <c r="O129" s="2"/>
      <c r="P129" s="2"/>
      <c r="Q129" s="2"/>
      <c r="R129" s="4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="1" customFormat="1" customHeight="1" spans="1:33">
      <c r="A130" s="2"/>
      <c r="B130" s="3"/>
      <c r="C130" s="3"/>
      <c r="D130" s="3"/>
      <c r="E130" s="3"/>
      <c r="F130" s="3"/>
      <c r="G130" s="3"/>
      <c r="H130" s="3"/>
      <c r="I130" s="2"/>
      <c r="J130" s="2"/>
      <c r="K130" s="43"/>
      <c r="L130" s="43"/>
      <c r="M130" s="43"/>
      <c r="N130" s="2"/>
      <c r="O130" s="2"/>
      <c r="P130" s="2"/>
      <c r="Q130" s="2"/>
      <c r="R130" s="4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="1" customFormat="1" customHeight="1" spans="1:33">
      <c r="A131" s="2"/>
      <c r="B131" s="3"/>
      <c r="C131" s="3"/>
      <c r="D131" s="3"/>
      <c r="E131" s="3"/>
      <c r="F131" s="3"/>
      <c r="G131" s="3"/>
      <c r="H131" s="3"/>
      <c r="I131" s="2"/>
      <c r="J131" s="2"/>
      <c r="K131" s="43"/>
      <c r="L131" s="43"/>
      <c r="M131" s="43"/>
      <c r="N131" s="2"/>
      <c r="O131" s="2"/>
      <c r="P131" s="2"/>
      <c r="Q131" s="2"/>
      <c r="R131" s="4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="1" customFormat="1" customHeight="1" spans="1:33">
      <c r="A132" s="2"/>
      <c r="B132" s="3"/>
      <c r="C132" s="3"/>
      <c r="D132" s="3"/>
      <c r="E132" s="3"/>
      <c r="F132" s="3"/>
      <c r="G132" s="3"/>
      <c r="H132" s="3"/>
      <c r="I132" s="2"/>
      <c r="J132" s="2"/>
      <c r="K132" s="43"/>
      <c r="L132" s="43"/>
      <c r="M132" s="43"/>
      <c r="N132" s="2"/>
      <c r="O132" s="2"/>
      <c r="P132" s="2"/>
      <c r="Q132" s="2"/>
      <c r="R132" s="4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="1" customFormat="1" customHeight="1" spans="1:33">
      <c r="A133" s="2"/>
      <c r="B133" s="3"/>
      <c r="C133" s="3"/>
      <c r="D133" s="3"/>
      <c r="E133" s="3"/>
      <c r="F133" s="3"/>
      <c r="G133" s="3"/>
      <c r="H133" s="3"/>
      <c r="I133" s="2"/>
      <c r="J133" s="2"/>
      <c r="K133" s="43"/>
      <c r="L133" s="43"/>
      <c r="M133" s="43"/>
      <c r="N133" s="2"/>
      <c r="O133" s="2"/>
      <c r="P133" s="2"/>
      <c r="Q133" s="2"/>
      <c r="R133" s="4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="1" customFormat="1" customHeight="1" spans="1:33">
      <c r="A134" s="2"/>
      <c r="B134" s="3"/>
      <c r="C134" s="3"/>
      <c r="D134" s="3"/>
      <c r="E134" s="3"/>
      <c r="F134" s="3"/>
      <c r="G134" s="3"/>
      <c r="H134" s="3"/>
      <c r="I134" s="2"/>
      <c r="J134" s="2"/>
      <c r="K134" s="43"/>
      <c r="L134" s="43"/>
      <c r="M134" s="43"/>
      <c r="N134" s="2"/>
      <c r="O134" s="2"/>
      <c r="P134" s="2"/>
      <c r="Q134" s="2"/>
      <c r="R134" s="4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="1" customFormat="1" customHeight="1" spans="1:33">
      <c r="A135" s="2"/>
      <c r="B135" s="3"/>
      <c r="C135" s="3"/>
      <c r="D135" s="3"/>
      <c r="E135" s="3"/>
      <c r="F135" s="3"/>
      <c r="G135" s="3"/>
      <c r="H135" s="3"/>
      <c r="I135" s="2"/>
      <c r="J135" s="2"/>
      <c r="K135" s="43"/>
      <c r="L135" s="43"/>
      <c r="M135" s="43"/>
      <c r="N135" s="2"/>
      <c r="O135" s="2"/>
      <c r="P135" s="2"/>
      <c r="Q135" s="2"/>
      <c r="R135" s="4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="1" customFormat="1" customHeight="1" spans="1:33">
      <c r="A136" s="2"/>
      <c r="B136" s="3"/>
      <c r="C136" s="3"/>
      <c r="D136" s="3"/>
      <c r="E136" s="3"/>
      <c r="F136" s="3"/>
      <c r="G136" s="3"/>
      <c r="H136" s="3"/>
      <c r="I136" s="2"/>
      <c r="J136" s="2"/>
      <c r="K136" s="43"/>
      <c r="L136" s="43"/>
      <c r="M136" s="43"/>
      <c r="N136" s="2"/>
      <c r="O136" s="2"/>
      <c r="P136" s="2"/>
      <c r="Q136" s="2"/>
      <c r="R136" s="4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="1" customFormat="1" customHeight="1" spans="1:33">
      <c r="A137" s="2"/>
      <c r="B137" s="3"/>
      <c r="C137" s="3"/>
      <c r="D137" s="3"/>
      <c r="E137" s="3"/>
      <c r="F137" s="3"/>
      <c r="G137" s="3"/>
      <c r="H137" s="3"/>
      <c r="I137" s="2"/>
      <c r="J137" s="2"/>
      <c r="K137" s="43"/>
      <c r="L137" s="43"/>
      <c r="M137" s="43"/>
      <c r="N137" s="2"/>
      <c r="O137" s="2"/>
      <c r="P137" s="2"/>
      <c r="Q137" s="2"/>
      <c r="R137" s="4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="1" customFormat="1" customHeight="1" spans="1:33">
      <c r="A138" s="2"/>
      <c r="B138" s="3"/>
      <c r="C138" s="3"/>
      <c r="D138" s="3"/>
      <c r="E138" s="3"/>
      <c r="F138" s="3"/>
      <c r="G138" s="3"/>
      <c r="H138" s="3"/>
      <c r="I138" s="2"/>
      <c r="J138" s="2"/>
      <c r="K138" s="43"/>
      <c r="L138" s="43"/>
      <c r="M138" s="43"/>
      <c r="N138" s="2"/>
      <c r="O138" s="2"/>
      <c r="P138" s="2"/>
      <c r="Q138" s="2"/>
      <c r="R138" s="4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="1" customFormat="1" customHeight="1" spans="1:33">
      <c r="A139" s="2"/>
      <c r="B139" s="3"/>
      <c r="C139" s="3"/>
      <c r="D139" s="3"/>
      <c r="E139" s="3"/>
      <c r="F139" s="3"/>
      <c r="G139" s="3"/>
      <c r="H139" s="3"/>
      <c r="I139" s="2"/>
      <c r="J139" s="2"/>
      <c r="K139" s="43"/>
      <c r="L139" s="43"/>
      <c r="M139" s="43"/>
      <c r="N139" s="2"/>
      <c r="O139" s="2"/>
      <c r="P139" s="2"/>
      <c r="Q139" s="2"/>
      <c r="R139" s="4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="1" customFormat="1" customHeight="1" spans="1:33">
      <c r="A140" s="2"/>
      <c r="B140" s="3"/>
      <c r="C140" s="3"/>
      <c r="D140" s="3"/>
      <c r="E140" s="3"/>
      <c r="F140" s="3"/>
      <c r="G140" s="3"/>
      <c r="H140" s="3"/>
      <c r="I140" s="2"/>
      <c r="J140" s="2"/>
      <c r="K140" s="43"/>
      <c r="L140" s="43"/>
      <c r="M140" s="43"/>
      <c r="N140" s="2"/>
      <c r="O140" s="2"/>
      <c r="P140" s="2"/>
      <c r="Q140" s="2"/>
      <c r="R140" s="4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="1" customFormat="1" customHeight="1" spans="1:33">
      <c r="A141" s="2"/>
      <c r="B141" s="3"/>
      <c r="C141" s="3"/>
      <c r="D141" s="3"/>
      <c r="E141" s="3"/>
      <c r="F141" s="3"/>
      <c r="G141" s="3"/>
      <c r="H141" s="3"/>
      <c r="I141" s="2"/>
      <c r="J141" s="2"/>
      <c r="K141" s="43"/>
      <c r="L141" s="43"/>
      <c r="M141" s="43"/>
      <c r="N141" s="2"/>
      <c r="O141" s="2"/>
      <c r="P141" s="2"/>
      <c r="Q141" s="2"/>
      <c r="R141" s="4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</sheetData>
  <mergeCells count="18">
    <mergeCell ref="A2:H2"/>
    <mergeCell ref="E3:F3"/>
    <mergeCell ref="G3:H3"/>
    <mergeCell ref="B8:C8"/>
    <mergeCell ref="B12:C12"/>
    <mergeCell ref="B15:C15"/>
    <mergeCell ref="B19:C19"/>
    <mergeCell ref="A20:C20"/>
    <mergeCell ref="A21:C21"/>
    <mergeCell ref="A3:A4"/>
    <mergeCell ref="A5:A19"/>
    <mergeCell ref="B3:B4"/>
    <mergeCell ref="B5:B7"/>
    <mergeCell ref="B9:B11"/>
    <mergeCell ref="B13:B14"/>
    <mergeCell ref="B16:B18"/>
    <mergeCell ref="C3:C4"/>
    <mergeCell ref="D3:D4"/>
  </mergeCells>
  <conditionalFormatting sqref="F5">
    <cfRule type="dataBar" priority="36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{e30b16de-bccc-4b07-90ce-2de1303b46b6}</x14:id>
        </ext>
      </extLst>
    </cfRule>
    <cfRule type="dataBar" priority="30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{05cca40b-2d07-4d7f-bcc7-41cf498cf5a3}</x14:id>
        </ext>
      </extLst>
    </cfRule>
    <cfRule type="dataBar" priority="24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{87a4828a-4d14-406c-84ea-0817948a9c6e}</x14:id>
        </ext>
      </extLst>
    </cfRule>
    <cfRule type="dataBar" priority="18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{957640ca-e39d-49e4-abf1-0fa5a2eab81e}</x14:id>
        </ext>
      </extLst>
    </cfRule>
    <cfRule type="dataBar" priority="12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{71c0df8e-f423-4dbf-b347-9728dc898156}</x14:id>
        </ext>
      </extLst>
    </cfRule>
  </conditionalFormatting>
  <conditionalFormatting sqref="H5">
    <cfRule type="dataBar" priority="42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{a8671784-36dd-429d-8c47-bc30f535857a}</x14:id>
        </ext>
      </extLst>
    </cfRule>
  </conditionalFormatting>
  <conditionalFormatting sqref="F9">
    <cfRule type="dataBar" priority="35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{0843381a-8a21-4d8c-bb49-9e2dc5ca1f68}</x14:id>
        </ext>
      </extLst>
    </cfRule>
    <cfRule type="dataBar" priority="29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{be326da8-0a3a-4d2c-8722-d8f46e8484cb}</x14:id>
        </ext>
      </extLst>
    </cfRule>
    <cfRule type="dataBar" priority="23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{702256fb-cab4-4f4f-9165-7c5f0588c963}</x14:id>
        </ext>
      </extLst>
    </cfRule>
    <cfRule type="dataBar" priority="17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{f39cff7a-9e37-4999-b63c-cde8fdc6bd29}</x14:id>
        </ext>
      </extLst>
    </cfRule>
    <cfRule type="dataBar" priority="11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{65091396-6b4e-4b62-a4a1-1431d9b204bf}</x14:id>
        </ext>
      </extLst>
    </cfRule>
  </conditionalFormatting>
  <conditionalFormatting sqref="H9">
    <cfRule type="dataBar" priority="41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{2c0bc4b1-32a3-4416-a30c-8a7b0b538210}</x14:id>
        </ext>
      </extLst>
    </cfRule>
  </conditionalFormatting>
  <conditionalFormatting sqref="F13">
    <cfRule type="dataBar" priority="37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{648795ee-3cc6-48a0-9d1f-8c72ff69608f}</x14:id>
        </ext>
      </extLst>
    </cfRule>
    <cfRule type="dataBar" priority="31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{c4241304-6709-408c-97f4-31ea1fcdd398}</x14:id>
        </ext>
      </extLst>
    </cfRule>
    <cfRule type="dataBar" priority="25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{4698edf9-af4c-4bb4-9a30-5b2a8d0746da}</x14:id>
        </ext>
      </extLst>
    </cfRule>
    <cfRule type="dataBar" priority="19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{53038470-e1a8-41d2-83ef-49126af2c18c}</x14:id>
        </ext>
      </extLst>
    </cfRule>
    <cfRule type="dataBar" priority="13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{f1107d0e-0a69-4547-8c09-24a3125c893a}</x14:id>
        </ext>
      </extLst>
    </cfRule>
  </conditionalFormatting>
  <conditionalFormatting sqref="H13">
    <cfRule type="dataBar" priority="43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{bc0c8719-6977-4ecd-84ca-243d562addb0}</x14:id>
        </ext>
      </extLst>
    </cfRule>
  </conditionalFormatting>
  <conditionalFormatting sqref="F14">
    <cfRule type="dataBar" priority="38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{9cc3d55a-d0d7-4209-a752-ceb68fdeba94}</x14:id>
        </ext>
      </extLst>
    </cfRule>
    <cfRule type="dataBar" priority="32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{2128849f-706e-4205-9d6a-710bf480e9cf}</x14:id>
        </ext>
      </extLst>
    </cfRule>
    <cfRule type="dataBar" priority="26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{161baf70-f54a-4795-86da-ce252349d5cf}</x14:id>
        </ext>
      </extLst>
    </cfRule>
    <cfRule type="dataBar" priority="20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{035e1bb8-fa3c-4107-ad67-38db43ecce32}</x14:id>
        </ext>
      </extLst>
    </cfRule>
    <cfRule type="dataBar" priority="14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{0cc8a746-c048-4986-b7d8-d11c292d0803}</x14:id>
        </ext>
      </extLst>
    </cfRule>
  </conditionalFormatting>
  <conditionalFormatting sqref="H14">
    <cfRule type="dataBar" priority="44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{e1d3d005-7aa0-4766-85f5-dfdf0203d46d}</x14:id>
        </ext>
      </extLst>
    </cfRule>
  </conditionalFormatting>
  <conditionalFormatting sqref="F19">
    <cfRule type="dataBar" priority="33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{5bee6dde-3320-46d8-8b63-e3f843fffa09}</x14:id>
        </ext>
      </extLst>
    </cfRule>
    <cfRule type="dataBar" priority="27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{71112abf-2136-468d-a0fc-95f2a7721cdd}</x14:id>
        </ext>
      </extLst>
    </cfRule>
    <cfRule type="dataBar" priority="21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{86a8b5a2-a456-4ffd-b5ad-fcb776261354}</x14:id>
        </ext>
      </extLst>
    </cfRule>
    <cfRule type="dataBar" priority="15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{f8a5ec45-3227-431d-9087-80a68750345c}</x14:id>
        </ext>
      </extLst>
    </cfRule>
    <cfRule type="dataBar" priority="9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{ae7d3fb8-4ea3-4bea-8b22-d1dc4d78f08d}</x14:id>
        </ext>
      </extLst>
    </cfRule>
  </conditionalFormatting>
  <conditionalFormatting sqref="H19">
    <cfRule type="dataBar" priority="39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{0a25f0b0-55e6-4a76-b972-0d960399c056}</x14:id>
        </ext>
      </extLst>
    </cfRule>
  </conditionalFormatting>
  <conditionalFormatting sqref="F6:F7">
    <cfRule type="dataBar" priority="55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{70c60499-7112-4255-94e6-5ba6c840ede9}</x14:id>
        </ext>
      </extLst>
    </cfRule>
    <cfRule type="dataBar" priority="54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{ad61198e-4d8a-4c58-835e-cb7186109e67}</x14:id>
        </ext>
      </extLst>
    </cfRule>
    <cfRule type="dataBar" priority="53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{116657e4-80cc-42ad-b9d5-919e9ea16488}</x14:id>
        </ext>
      </extLst>
    </cfRule>
    <cfRule type="dataBar" priority="52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{a1008978-453d-4825-b907-bba495249742}</x14:id>
        </ext>
      </extLst>
    </cfRule>
    <cfRule type="dataBar" priority="51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{6c535c7c-d025-4f21-8592-8ed39217255d}</x14:id>
        </ext>
      </extLst>
    </cfRule>
  </conditionalFormatting>
  <conditionalFormatting sqref="F10:F11">
    <cfRule type="dataBar" priority="49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{1ff1292b-a76e-4de1-854a-8054a2296b47}</x14:id>
        </ext>
      </extLst>
    </cfRule>
    <cfRule type="dataBar" priority="48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{90557d37-e2bd-466d-ac66-920e31fd7427}</x14:id>
        </ext>
      </extLst>
    </cfRule>
    <cfRule type="dataBar" priority="47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{d01dd557-e84a-45ca-90a0-eea1ffa3631f}</x14:id>
        </ext>
      </extLst>
    </cfRule>
    <cfRule type="dataBar" priority="46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{b963db5e-be2a-4b46-96a2-2266b16a2480}</x14:id>
        </ext>
      </extLst>
    </cfRule>
    <cfRule type="dataBar" priority="45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{4063f123-7ff6-4c82-9290-5b06ddfcc0f8}</x14:id>
        </ext>
      </extLst>
    </cfRule>
  </conditionalFormatting>
  <conditionalFormatting sqref="F16:F18">
    <cfRule type="dataBar" priority="63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{796b33b3-9cf8-4771-ab5b-67c5fa1e9e40}</x14:id>
        </ext>
      </extLst>
    </cfRule>
    <cfRule type="dataBar" priority="62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{aa7324d8-7cb2-40da-ae81-adaa098437a5}</x14:id>
        </ext>
      </extLst>
    </cfRule>
    <cfRule type="dataBar" priority="61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{e6861c60-893a-4b11-ab41-0b17f0a46c06}</x14:id>
        </ext>
      </extLst>
    </cfRule>
    <cfRule type="dataBar" priority="60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{37d945c8-abb8-43ee-922b-31228d500768}</x14:id>
        </ext>
      </extLst>
    </cfRule>
    <cfRule type="dataBar" priority="59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{a32f2161-8908-4565-aedc-f2ed61f18f4b}</x14:id>
        </ext>
      </extLst>
    </cfRule>
    <cfRule type="cellIs" dxfId="0" priority="58" operator="greaterThanOrEqual">
      <formula>0.9</formula>
    </cfRule>
    <cfRule type="cellIs" dxfId="1" priority="57" operator="lessThanOrEqual">
      <formula>0.6</formula>
    </cfRule>
  </conditionalFormatting>
  <conditionalFormatting sqref="F23:F30">
    <cfRule type="dataBar" priority="4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{aa0c243d-1187-4e92-9a61-f49c5726d488}</x14:id>
        </ext>
      </extLst>
    </cfRule>
    <cfRule type="cellIs" dxfId="0" priority="2" operator="greaterThanOrEqual">
      <formula>0.9</formula>
    </cfRule>
  </conditionalFormatting>
  <conditionalFormatting sqref="H6:H7">
    <cfRule type="dataBar" priority="56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{6a9a8600-0a09-45c5-9b3b-e0f513244fde}</x14:id>
        </ext>
      </extLst>
    </cfRule>
  </conditionalFormatting>
  <conditionalFormatting sqref="H10:H11">
    <cfRule type="dataBar" priority="50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{d43bf501-b519-4961-9d2b-6bdd89e2e0ca}</x14:id>
        </ext>
      </extLst>
    </cfRule>
  </conditionalFormatting>
  <conditionalFormatting sqref="H16:H18">
    <cfRule type="dataBar" priority="66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{5dd56f4a-3144-463c-892b-cce33daef7e9}</x14:id>
        </ext>
      </extLst>
    </cfRule>
    <cfRule type="cellIs" dxfId="1" priority="65" operator="lessThan">
      <formula>0.6</formula>
    </cfRule>
    <cfRule type="cellIs" dxfId="0" priority="64" operator="greaterThanOrEqual">
      <formula>0.9</formula>
    </cfRule>
  </conditionalFormatting>
  <conditionalFormatting sqref="H23:H30">
    <cfRule type="dataBar" priority="3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{5a12e34e-3969-4e28-af49-b22f07709dc8}</x14:id>
        </ext>
      </extLst>
    </cfRule>
    <cfRule type="cellIs" dxfId="2" priority="1" operator="lessThanOrEqual">
      <formula>0.6</formula>
    </cfRule>
  </conditionalFormatting>
  <conditionalFormatting sqref="F5:F15 F19:F21">
    <cfRule type="cellIs" dxfId="0" priority="6" operator="greaterThanOrEqual">
      <formula>0.9</formula>
    </cfRule>
    <cfRule type="cellIs" dxfId="1" priority="5" operator="lessThanOrEqual">
      <formula>0.6</formula>
    </cfRule>
  </conditionalFormatting>
  <conditionalFormatting sqref="H5:H15 H19:H21">
    <cfRule type="cellIs" dxfId="1" priority="8" operator="lessThan">
      <formula>0.6</formula>
    </cfRule>
    <cfRule type="cellIs" dxfId="0" priority="7" operator="greaterThanOrEqual">
      <formula>0.9</formula>
    </cfRule>
  </conditionalFormatting>
  <conditionalFormatting sqref="F8 F12 F15 F20:F21">
    <cfRule type="dataBar" priority="34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{f314970b-f477-45d3-99d4-e793b0aff46f}</x14:id>
        </ext>
      </extLst>
    </cfRule>
    <cfRule type="dataBar" priority="28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{4a64e7bc-0d03-4a6a-9023-a9a3f6737b01}</x14:id>
        </ext>
      </extLst>
    </cfRule>
    <cfRule type="dataBar" priority="22">
      <dataBar>
        <cfvo type="min"/>
        <cfvo type="max"/>
        <color rgb="FF7DDFE7"/>
      </dataBar>
      <extLst>
        <ext xmlns:x14="http://schemas.microsoft.com/office/spreadsheetml/2009/9/main" uri="{B025F937-C7B1-47D3-B67F-A62EFF666E3E}">
          <x14:id>{e5b52d31-cdb7-4fbd-9685-bfa4901052d4}</x14:id>
        </ext>
      </extLst>
    </cfRule>
    <cfRule type="dataBar" priority="16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{55b64427-01ce-4cdc-8433-cd425a213496}</x14:id>
        </ext>
      </extLst>
    </cfRule>
    <cfRule type="dataBar" priority="10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{f837f909-9d40-4ebd-b0cb-c291dcac9898}</x14:id>
        </ext>
      </extLst>
    </cfRule>
  </conditionalFormatting>
  <conditionalFormatting sqref="H8 H12 H15 H20:H21">
    <cfRule type="dataBar" priority="40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{67c24e14-fcad-4cf8-b2a7-88ccd18b3e77}</x14:id>
        </ext>
      </extLst>
    </cfRule>
  </conditionalFormatting>
  <pageMargins left="0.75" right="0.75" top="1" bottom="1" header="0.5" footer="0.5"/>
  <headerFooter/>
  <ignoredErrors>
    <ignoredError sqref="F19:F20 D15:G15 D12:G12 D8:G8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0b16de-bccc-4b07-90ce-2de1303b46b6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05cca40b-2d07-4d7f-bcc7-41cf498cf5a3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87a4828a-4d14-406c-84ea-0817948a9c6e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957640ca-e39d-49e4-abf1-0fa5a2eab81e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71c0df8e-f423-4dbf-b347-9728dc898156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F5</xm:sqref>
        </x14:conditionalFormatting>
        <x14:conditionalFormatting xmlns:xm="http://schemas.microsoft.com/office/excel/2006/main">
          <x14:cfRule type="dataBar" id="{a8671784-36dd-429d-8c47-bc30f535857a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H5</xm:sqref>
        </x14:conditionalFormatting>
        <x14:conditionalFormatting xmlns:xm="http://schemas.microsoft.com/office/excel/2006/main">
          <x14:cfRule type="dataBar" id="{0843381a-8a21-4d8c-bb49-9e2dc5ca1f68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be326da8-0a3a-4d2c-8722-d8f46e8484cb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702256fb-cab4-4f4f-9165-7c5f0588c963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f39cff7a-9e37-4999-b63c-cde8fdc6bd29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65091396-6b4e-4b62-a4a1-1431d9b204bf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F9</xm:sqref>
        </x14:conditionalFormatting>
        <x14:conditionalFormatting xmlns:xm="http://schemas.microsoft.com/office/excel/2006/main">
          <x14:cfRule type="dataBar" id="{2c0bc4b1-32a3-4416-a30c-8a7b0b538210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H9</xm:sqref>
        </x14:conditionalFormatting>
        <x14:conditionalFormatting xmlns:xm="http://schemas.microsoft.com/office/excel/2006/main">
          <x14:cfRule type="dataBar" id="{648795ee-3cc6-48a0-9d1f-8c72ff69608f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c4241304-6709-408c-97f4-31ea1fcdd398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4698edf9-af4c-4bb4-9a30-5b2a8d0746da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53038470-e1a8-41d2-83ef-49126af2c18c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f1107d0e-0a69-4547-8c09-24a3125c893a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F13</xm:sqref>
        </x14:conditionalFormatting>
        <x14:conditionalFormatting xmlns:xm="http://schemas.microsoft.com/office/excel/2006/main">
          <x14:cfRule type="dataBar" id="{bc0c8719-6977-4ecd-84ca-243d562addb0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H13</xm:sqref>
        </x14:conditionalFormatting>
        <x14:conditionalFormatting xmlns:xm="http://schemas.microsoft.com/office/excel/2006/main">
          <x14:cfRule type="dataBar" id="{9cc3d55a-d0d7-4209-a752-ceb68fdeba94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2128849f-706e-4205-9d6a-710bf480e9cf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161baf70-f54a-4795-86da-ce252349d5cf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035e1bb8-fa3c-4107-ad67-38db43ecce3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0cc8a746-c048-4986-b7d8-d11c292d0803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F14</xm:sqref>
        </x14:conditionalFormatting>
        <x14:conditionalFormatting xmlns:xm="http://schemas.microsoft.com/office/excel/2006/main">
          <x14:cfRule type="dataBar" id="{e1d3d005-7aa0-4766-85f5-dfdf0203d46d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H14</xm:sqref>
        </x14:conditionalFormatting>
        <x14:conditionalFormatting xmlns:xm="http://schemas.microsoft.com/office/excel/2006/main">
          <x14:cfRule type="dataBar" id="{5bee6dde-3320-46d8-8b63-e3f843fffa09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71112abf-2136-468d-a0fc-95f2a7721cdd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86a8b5a2-a456-4ffd-b5ad-fcb776261354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f8a5ec45-3227-431d-9087-80a68750345c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ae7d3fb8-4ea3-4bea-8b22-d1dc4d78f08d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F19</xm:sqref>
        </x14:conditionalFormatting>
        <x14:conditionalFormatting xmlns:xm="http://schemas.microsoft.com/office/excel/2006/main">
          <x14:cfRule type="dataBar" id="{0a25f0b0-55e6-4a76-b972-0d960399c056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H19</xm:sqref>
        </x14:conditionalFormatting>
        <x14:conditionalFormatting xmlns:xm="http://schemas.microsoft.com/office/excel/2006/main">
          <x14:cfRule type="dataBar" id="{70c60499-7112-4255-94e6-5ba6c840ede9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ad61198e-4d8a-4c58-835e-cb7186109e67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116657e4-80cc-42ad-b9d5-919e9ea16488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a1008978-453d-4825-b907-bba49524974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6c535c7c-d025-4f21-8592-8ed39217255d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F6:F7</xm:sqref>
        </x14:conditionalFormatting>
        <x14:conditionalFormatting xmlns:xm="http://schemas.microsoft.com/office/excel/2006/main">
          <x14:cfRule type="dataBar" id="{1ff1292b-a76e-4de1-854a-8054a2296b47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90557d37-e2bd-466d-ac66-920e31fd7427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d01dd557-e84a-45ca-90a0-eea1ffa3631f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b963db5e-be2a-4b46-96a2-2266b16a2480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4063f123-7ff6-4c82-9290-5b06ddfcc0f8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F10:F11</xm:sqref>
        </x14:conditionalFormatting>
        <x14:conditionalFormatting xmlns:xm="http://schemas.microsoft.com/office/excel/2006/main">
          <x14:cfRule type="dataBar" id="{796b33b3-9cf8-4771-ab5b-67c5fa1e9e40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aa7324d8-7cb2-40da-ae81-adaa098437a5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e6861c60-893a-4b11-ab41-0b17f0a46c06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37d945c8-abb8-43ee-922b-31228d500768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a32f2161-8908-4565-aedc-f2ed61f18f4b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F16:F18</xm:sqref>
        </x14:conditionalFormatting>
        <x14:conditionalFormatting xmlns:xm="http://schemas.microsoft.com/office/excel/2006/main">
          <x14:cfRule type="dataBar" id="{aa0c243d-1187-4e92-9a61-f49c5726d488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F23:F30</xm:sqref>
        </x14:conditionalFormatting>
        <x14:conditionalFormatting xmlns:xm="http://schemas.microsoft.com/office/excel/2006/main">
          <x14:cfRule type="dataBar" id="{6a9a8600-0a09-45c5-9b3b-e0f513244fde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H6:H7</xm:sqref>
        </x14:conditionalFormatting>
        <x14:conditionalFormatting xmlns:xm="http://schemas.microsoft.com/office/excel/2006/main">
          <x14:cfRule type="dataBar" id="{d43bf501-b519-4961-9d2b-6bdd89e2e0ca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H10:H11</xm:sqref>
        </x14:conditionalFormatting>
        <x14:conditionalFormatting xmlns:xm="http://schemas.microsoft.com/office/excel/2006/main">
          <x14:cfRule type="dataBar" id="{5dd56f4a-3144-463c-892b-cce33daef7e9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H16:H18</xm:sqref>
        </x14:conditionalFormatting>
        <x14:conditionalFormatting xmlns:xm="http://schemas.microsoft.com/office/excel/2006/main">
          <x14:cfRule type="dataBar" id="{5a12e34e-3969-4e28-af49-b22f07709dc8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H23:H30</xm:sqref>
        </x14:conditionalFormatting>
        <x14:conditionalFormatting xmlns:xm="http://schemas.microsoft.com/office/excel/2006/main">
          <x14:cfRule type="dataBar" id="{f314970b-f477-45d3-99d4-e793b0aff46f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4a64e7bc-0d03-4a6a-9023-a9a3f6737b01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e5b52d31-cdb7-4fbd-9685-bfa4901052d4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55b64427-01ce-4cdc-8433-cd425a213496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f837f909-9d40-4ebd-b0cb-c291dcac9898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F8 F12 F15 F20:F21</xm:sqref>
        </x14:conditionalFormatting>
        <x14:conditionalFormatting xmlns:xm="http://schemas.microsoft.com/office/excel/2006/main">
          <x14:cfRule type="dataBar" id="{67c24e14-fcad-4cf8-b2a7-88ccd18b3e77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H8 H12 H15 H20:H21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zoeyzhou</dc:creator>
  <cp:lastModifiedBy>Velvetymoon</cp:lastModifiedBy>
  <dcterms:created xsi:type="dcterms:W3CDTF">2026-07-10T23:24:00Z</dcterms:created>
  <dcterms:modified xsi:type="dcterms:W3CDTF">2026-07-11T19:19:07Z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8DBF72B636FF5E38914C4F6ABCD679AB_41</vt:lpwstr>
  </property>
  <property fmtid="{D5CDD505-2E9C-101B-9397-08002B2CF9AE}" pid="3" name="KSOProductBuildVer">
    <vt:lpwstr>2052-6.12.0.8899</vt:lpwstr>
  </property>
</Properties>
</file>