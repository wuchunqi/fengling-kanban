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40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<sst xmlns="http://schemas.openxmlformats.org/spreadsheetml/2006/main" count="36" uniqueCount="33">
  <si>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个微-风灵全天在线率及爱芯授权功能正常率（郑州） 4月2日</t>
  </si>
  <si>
    <t>学部</t>
  </si>
  <si>
    <t>年级</t>
  </si>
  <si>
    <t>战队</t>
  </si>
  <si>
    <t>低价课带班</t>
  </si>
  <si>
    <t>全天在线</t>
  </si>
  <si>
    <t>个微全天在线率</t>
  </si>
  <si>
    <t>接流</t>
  </si>
  <si>
    <t>授权人数</t>
  </si>
  <si>
    <t>正常人数</t>
  </si>
  <si>
    <t>爱芯个微授权率</t>
  </si>
  <si>
    <t>个微功能正常率</t>
  </si>
  <si>
    <t>高中</t>
  </si>
  <si>
    <t>高一</t>
  </si>
  <si>
    <t>巅峰王者--李珂珂</t>
  </si>
  <si>
    <t>风禾尽起--陈春雨</t>
  </si>
  <si>
    <t>溯川向上--刘炎鹤</t>
  </si>
  <si>
    <t>高一 汇总</t>
  </si>
  <si>
    <t>高二</t>
  </si>
  <si>
    <t>勇立潮头--王雅欣</t>
  </si>
  <si>
    <t>鼎立苍穹--吕萍</t>
  </si>
  <si>
    <t>鼓足干劲--张凯</t>
  </si>
  <si>
    <t>高二 汇总</t>
  </si>
  <si>
    <t>高三</t>
  </si>
  <si>
    <t>当仁不让--张海升</t>
  </si>
  <si>
    <t>逐鹿中原--彭铖名</t>
  </si>
  <si>
    <t>高三 汇总</t>
  </si>
  <si>
    <t>新兵营</t>
  </si>
  <si>
    <t>新兵营1组--李军林</t>
  </si>
  <si>
    <t>鹏耀巅峰--孔坤朋</t>
  </si>
  <si>
    <t>攻错若石--尤振中</t>
  </si>
  <si>
    <t>高中新兵营 汇总</t>
  </si>
  <si>
    <t>高中 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</si>
</sst>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2"/>
      <color rgb="FF9438FB"/>
      <name val="PingFang SC Regular"/>
      <charset val="134"/>
    </font>
    <font>
      <b/>
      <sz val="11"/>
      <color rgb="FFFFFFFF"/>
      <name val="阿里巴巴普惠体"/>
      <charset val="134"/>
    </font>
    <font>
      <sz val="11"/>
      <name val="宋体"/>
      <charset val="134"/>
      <scheme val="minor"/>
    </font>
    <font>
      <b/>
      <sz val="11"/>
      <color rgb="FF000000"/>
      <name val="PingFang SC Regular"/>
      <charset val="134"/>
    </font>
    <font>
      <sz val="11"/>
      <color rgb="FF000000"/>
      <name val="PingFang SC Regular"/>
      <charset val="134"/>
    </font>
    <font>
      <b/>
      <sz val="11"/>
      <color rgb="FFD9730D"/>
      <name val="PingFang SC Regular"/>
      <charset val="134"/>
    </font>
    <font>
      <b/>
      <sz val="11"/>
      <name val="宋体"/>
      <charset val="134"/>
      <scheme val="minor"/>
    </font>
    <font>
      <b/>
      <sz val="11"/>
      <color rgb="FFC65A14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FEBF6"/>
        <bgColor indexed="64"/>
      </patternFill>
    </fill>
    <fill>
      <patternFill patternType="solid">
        <fgColor rgb="FFD5C8EE"/>
        <bgColor indexed="64"/>
      </patternFill>
    </fill>
    <fill>
      <patternFill patternType="solid">
        <fgColor rgb="FF00B14D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E8F2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9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13" applyNumberFormat="0" applyAlignment="0" applyProtection="0">
      <alignment vertical="center"/>
    </xf>
    <xf numFmtId="0" fontId="23" fillId="11" borderId="14" applyNumberFormat="0" applyAlignment="0" applyProtection="0">
      <alignment vertical="center"/>
    </xf>
    <xf numFmtId="0" fontId="24" fillId="11" borderId="13" applyNumberFormat="0" applyAlignment="0" applyProtection="0">
      <alignment vertical="center"/>
    </xf>
    <xf numFmtId="0" fontId="25" fillId="12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vertical="center"/>
    </xf>
    <xf numFmtId="0" fontId="2" fillId="0" borderId="1" xfId="0" applyFont="1" applyFill="1" applyBorder="1" applyAlignment="1" applyProtection="1">
      <alignment horizontal="center" vertical="center"/>
    </xf>
    <xf numFmtId="0" fontId="5" fillId="2" borderId="2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</xf>
    <xf numFmtId="0" fontId="6" fillId="0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6" fillId="0" borderId="5" xfId="0" applyFont="1" applyFill="1" applyBorder="1" applyAlignment="1" applyProtection="1">
      <alignment horizontal="center" vertical="center"/>
    </xf>
    <xf numFmtId="0" fontId="6" fillId="0" borderId="6" xfId="0" applyFont="1" applyFill="1" applyBorder="1" applyAlignment="1" applyProtection="1">
      <alignment horizontal="center" vertical="center"/>
    </xf>
    <xf numFmtId="0" fontId="6" fillId="0" borderId="7" xfId="0" applyFont="1" applyFill="1" applyBorder="1" applyAlignment="1" applyProtection="1">
      <alignment horizontal="center" vertical="center"/>
    </xf>
    <xf numFmtId="0" fontId="7" fillId="3" borderId="1" xfId="0" applyFont="1" applyFill="1" applyBorder="1" applyAlignment="1" applyProtection="1">
      <alignment horizontal="center" vertical="center"/>
    </xf>
    <xf numFmtId="0" fontId="6" fillId="0" borderId="8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8" fillId="0" borderId="4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0" fontId="8" fillId="0" borderId="6" xfId="0" applyFont="1" applyFill="1" applyBorder="1" applyAlignment="1" applyProtection="1">
      <alignment horizontal="center" vertical="center"/>
    </xf>
    <xf numFmtId="0" fontId="2" fillId="0" borderId="9" xfId="0" applyFont="1" applyFill="1" applyBorder="1" applyAlignment="1" applyProtection="1">
      <alignment horizontal="center" vertical="center"/>
    </xf>
    <xf numFmtId="0" fontId="8" fillId="0" borderId="7" xfId="0" applyFont="1" applyFill="1" applyBorder="1" applyAlignment="1" applyProtection="1">
      <alignment horizontal="center" vertical="center"/>
    </xf>
    <xf numFmtId="0" fontId="6" fillId="0" borderId="9" xfId="0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</xf>
    <xf numFmtId="0" fontId="7" fillId="3" borderId="9" xfId="0" applyFont="1" applyFill="1" applyBorder="1" applyAlignment="1" applyProtection="1">
      <alignment horizontal="center" vertical="center"/>
    </xf>
    <xf numFmtId="0" fontId="9" fillId="4" borderId="9" xfId="0" applyFont="1" applyFill="1" applyBorder="1" applyAlignment="1" applyProtection="1">
      <alignment horizontal="center" vertical="center"/>
    </xf>
    <xf numFmtId="0" fontId="10" fillId="4" borderId="1" xfId="0" applyFont="1" applyFill="1" applyBorder="1" applyAlignment="1" applyProtection="1">
      <alignment horizontal="center" vertical="center"/>
    </xf>
    <xf numFmtId="0" fontId="11" fillId="5" borderId="1" xfId="0" applyFont="1" applyFill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vertical="center"/>
    </xf>
    <xf numFmtId="0" fontId="11" fillId="0" borderId="1" xfId="0" applyFont="1" applyFill="1" applyBorder="1" applyAlignment="1" applyProtection="1">
      <alignment horizontal="center" vertical="center"/>
    </xf>
    <xf numFmtId="0" fontId="10" fillId="5" borderId="1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vertical="center"/>
    </xf>
    <xf numFmtId="0" fontId="5" fillId="6" borderId="1" xfId="0" applyFont="1" applyFill="1" applyBorder="1" applyAlignment="1" applyProtection="1">
      <alignment horizontal="center" vertical="center"/>
    </xf>
    <xf numFmtId="0" fontId="12" fillId="7" borderId="1" xfId="0" applyFont="1" applyFill="1" applyBorder="1" applyAlignment="1" applyProtection="1">
      <alignment horizontal="center" vertical="center"/>
    </xf>
    <xf numFmtId="10" fontId="13" fillId="0" borderId="1" xfId="0" applyNumberFormat="1" applyFont="1" applyFill="1" applyBorder="1" applyAlignment="1" applyProtection="1">
      <alignment horizontal="center" vertical="center"/>
    </xf>
    <xf numFmtId="0" fontId="13" fillId="0" borderId="1" xfId="0" applyFont="1" applyFill="1" applyBorder="1" applyAlignment="1" applyProtection="1">
      <alignment horizontal="center" vertical="center"/>
    </xf>
    <xf numFmtId="10" fontId="12" fillId="8" borderId="1" xfId="0" applyNumberFormat="1" applyFont="1" applyFill="1" applyBorder="1" applyAlignment="1" applyProtection="1">
      <alignment horizontal="center" vertical="center"/>
    </xf>
    <xf numFmtId="10" fontId="12" fillId="0" borderId="1" xfId="0" applyNumberFormat="1" applyFont="1" applyFill="1" applyBorder="1" applyAlignment="1" applyProtection="1">
      <alignment horizontal="center" vertical="center"/>
    </xf>
    <xf numFmtId="10" fontId="12" fillId="4" borderId="1" xfId="0" applyNumberFormat="1" applyFont="1" applyFill="1" applyBorder="1" applyAlignment="1" applyProtection="1">
      <alignment horizontal="center" vertical="center"/>
    </xf>
    <xf numFmtId="10" fontId="12" fillId="5" borderId="1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b val="1"/>
        <color rgb="FFBE0E1E"/>
      </font>
    </dxf>
    <dxf>
      <font>
        <b val="1"/>
        <color rgb="FF25B059"/>
      </font>
      <fill>
        <patternFill patternType="solid">
          <bgColor rgb="FFFFFFF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oeyzhou/Desktop/&#24037;&#20316;/&#39118;&#28789;&#25968;&#25454;/&#37073;&#24030;-&#39640;&#30701;-&#39118;&#28789;&#20010;&#24494;&#20840;&#22825;&#22312;&#32447;&#29575;&amp;&#29233;&#33455;&#21518;&#21488;&#25480;&#2643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个微在线源数据"/>
      <sheetName val="个微数据透视表"/>
      <sheetName val="数据公示表"/>
      <sheetName val="爱芯后台授权原始数据"/>
      <sheetName val="爱芯透视"/>
    </sheetNames>
    <sheetDataSet>
      <sheetData sheetId="0"/>
      <sheetData sheetId="1">
        <row r="1">
          <cell r="C1" t="str">
            <v>战队</v>
          </cell>
          <cell r="D1" t="str">
            <v>计数:辅导姓名</v>
          </cell>
        </row>
        <row r="2">
          <cell r="C2" t="str">
            <v>勇立潮头--王雅欣</v>
          </cell>
          <cell r="D2">
            <v>10</v>
          </cell>
        </row>
        <row r="3">
          <cell r="C3" t="str">
            <v>鼓足干劲--张凯</v>
          </cell>
          <cell r="D3">
            <v>6</v>
          </cell>
        </row>
        <row r="3">
          <cell r="H3" t="str">
            <v>战队</v>
          </cell>
          <cell r="I3" t="str">
            <v>计数:辅导老师</v>
          </cell>
        </row>
        <row r="4">
          <cell r="D4">
            <v>16</v>
          </cell>
        </row>
        <row r="4">
          <cell r="H4" t="str">
            <v>巅峰王者--李珂珂</v>
          </cell>
          <cell r="I4">
            <v>2</v>
          </cell>
        </row>
        <row r="5">
          <cell r="C5" t="str">
            <v>当仁不让--张海升</v>
          </cell>
          <cell r="D5">
            <v>9</v>
          </cell>
        </row>
        <row r="5">
          <cell r="H5" t="str">
            <v>风禾尽起--陈春雨</v>
          </cell>
          <cell r="I5">
            <v>10</v>
          </cell>
        </row>
        <row r="6">
          <cell r="C6" t="str">
            <v>逐鹿中原--彭铖名</v>
          </cell>
          <cell r="D6">
            <v>14</v>
          </cell>
        </row>
        <row r="6">
          <cell r="H6" t="str">
            <v>溯川向上--刘炎鹤</v>
          </cell>
          <cell r="I6">
            <v>8</v>
          </cell>
        </row>
        <row r="7">
          <cell r="D7">
            <v>23</v>
          </cell>
        </row>
        <row r="7">
          <cell r="I7">
            <v>20</v>
          </cell>
        </row>
        <row r="8">
          <cell r="C8" t="str">
            <v>巅峰王者--李珂珂</v>
          </cell>
          <cell r="D8">
            <v>8</v>
          </cell>
        </row>
        <row r="8">
          <cell r="H8" t="str">
            <v>勇立潮头--王雅欣</v>
          </cell>
          <cell r="I8">
            <v>4</v>
          </cell>
        </row>
        <row r="9">
          <cell r="C9" t="str">
            <v>风禾尽起--陈春雨</v>
          </cell>
          <cell r="D9">
            <v>11</v>
          </cell>
        </row>
        <row r="9">
          <cell r="H9" t="str">
            <v>鼓足干劲--张凯</v>
          </cell>
          <cell r="I9">
            <v>4</v>
          </cell>
        </row>
        <row r="10">
          <cell r="C10" t="str">
            <v>溯川向上--刘炎鹤</v>
          </cell>
          <cell r="D10">
            <v>9</v>
          </cell>
        </row>
        <row r="10">
          <cell r="I10">
            <v>8</v>
          </cell>
        </row>
        <row r="11">
          <cell r="D11">
            <v>28</v>
          </cell>
        </row>
        <row r="11">
          <cell r="H11" t="str">
            <v>当仁不让--张海升</v>
          </cell>
          <cell r="I11">
            <v>4</v>
          </cell>
        </row>
        <row r="12">
          <cell r="C12" t="str">
            <v>新兵营1组--李军林</v>
          </cell>
          <cell r="D12">
            <v>7</v>
          </cell>
        </row>
        <row r="12">
          <cell r="H12" t="str">
            <v>逐鹿中原--彭铖名</v>
          </cell>
          <cell r="I12">
            <v>7</v>
          </cell>
        </row>
        <row r="13">
          <cell r="C13" t="str">
            <v>攻错若石--尤振中</v>
          </cell>
          <cell r="D13">
            <v>4</v>
          </cell>
        </row>
        <row r="13">
          <cell r="I13">
            <v>11</v>
          </cell>
        </row>
        <row r="14">
          <cell r="C14" t="str">
            <v>鹏耀巅峰--孔坤朋</v>
          </cell>
          <cell r="D14">
            <v>5</v>
          </cell>
        </row>
        <row r="14">
          <cell r="H14" t="str">
            <v>鹏耀巅峰--孔坤朋</v>
          </cell>
          <cell r="I14">
            <v>2</v>
          </cell>
        </row>
        <row r="15">
          <cell r="D15">
            <v>16</v>
          </cell>
        </row>
        <row r="15">
          <cell r="I15">
            <v>2</v>
          </cell>
        </row>
        <row r="16">
          <cell r="D16">
            <v>83</v>
          </cell>
        </row>
        <row r="16">
          <cell r="I16">
            <v>41</v>
          </cell>
        </row>
        <row r="17">
          <cell r="C17" t="str">
            <v>(空白)</v>
          </cell>
          <cell r="D17">
            <v>0</v>
          </cell>
        </row>
        <row r="17">
          <cell r="I17">
            <v>41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83</v>
          </cell>
        </row>
      </sheetData>
      <sheetData sheetId="2"/>
      <sheetData sheetId="3"/>
      <sheetData sheetId="4">
        <row r="1">
          <cell r="C1" t="str">
            <v>战队</v>
          </cell>
          <cell r="D1" t="str">
            <v>计数:辅导老师邮箱</v>
          </cell>
          <cell r="E1" t="str">
            <v>求和:个微授权</v>
          </cell>
          <cell r="F1" t="str">
            <v>求和:整体正常</v>
          </cell>
        </row>
        <row r="2">
          <cell r="C2" t="str">
            <v>(空白)</v>
          </cell>
          <cell r="D2">
            <v>0</v>
          </cell>
          <cell r="E2">
            <v>0</v>
          </cell>
          <cell r="F2">
            <v>0</v>
          </cell>
        </row>
        <row r="3">
          <cell r="D3">
            <v>0</v>
          </cell>
          <cell r="E3">
            <v>0</v>
          </cell>
          <cell r="F3">
            <v>0</v>
          </cell>
        </row>
        <row r="4">
          <cell r="D4">
            <v>0</v>
          </cell>
          <cell r="E4">
            <v>0</v>
          </cell>
          <cell r="F4">
            <v>0</v>
          </cell>
        </row>
        <row r="5">
          <cell r="C5" t="str">
            <v>溯川向上--刘炎鹤</v>
          </cell>
          <cell r="D5">
            <v>9</v>
          </cell>
          <cell r="E5">
            <v>9</v>
          </cell>
          <cell r="F5">
            <v>8</v>
          </cell>
        </row>
        <row r="6">
          <cell r="C6" t="str">
            <v>风禾尽起--陈春雨</v>
          </cell>
          <cell r="D6">
            <v>11</v>
          </cell>
          <cell r="E6">
            <v>11</v>
          </cell>
          <cell r="F6">
            <v>9</v>
          </cell>
        </row>
        <row r="7">
          <cell r="C7" t="str">
            <v>巅峰王者--李珂珂</v>
          </cell>
          <cell r="D7">
            <v>8</v>
          </cell>
          <cell r="E7">
            <v>8</v>
          </cell>
          <cell r="F7">
            <v>5</v>
          </cell>
        </row>
        <row r="8">
          <cell r="D8">
            <v>28</v>
          </cell>
          <cell r="E8">
            <v>28</v>
          </cell>
          <cell r="F8">
            <v>22</v>
          </cell>
        </row>
        <row r="9">
          <cell r="C9" t="str">
            <v>逐鹿中原--彭铖名</v>
          </cell>
          <cell r="D9">
            <v>14</v>
          </cell>
          <cell r="E9">
            <v>14</v>
          </cell>
          <cell r="F9">
            <v>8</v>
          </cell>
        </row>
        <row r="10">
          <cell r="C10" t="str">
            <v>当仁不让--张海升</v>
          </cell>
          <cell r="D10">
            <v>9</v>
          </cell>
          <cell r="E10">
            <v>9</v>
          </cell>
          <cell r="F10">
            <v>6</v>
          </cell>
        </row>
        <row r="11">
          <cell r="D11">
            <v>23</v>
          </cell>
          <cell r="E11">
            <v>23</v>
          </cell>
          <cell r="F11">
            <v>14</v>
          </cell>
        </row>
        <row r="12">
          <cell r="C12" t="str">
            <v>鼓足干劲--张凯</v>
          </cell>
          <cell r="D12">
            <v>6</v>
          </cell>
          <cell r="E12">
            <v>5</v>
          </cell>
          <cell r="F12">
            <v>3</v>
          </cell>
        </row>
        <row r="13">
          <cell r="C13" t="str">
            <v>勇立潮头--王雅欣</v>
          </cell>
          <cell r="D13">
            <v>10</v>
          </cell>
          <cell r="E13">
            <v>6</v>
          </cell>
          <cell r="F13">
            <v>4</v>
          </cell>
        </row>
        <row r="14">
          <cell r="D14">
            <v>16</v>
          </cell>
          <cell r="E14">
            <v>11</v>
          </cell>
          <cell r="F14">
            <v>7</v>
          </cell>
        </row>
        <row r="15">
          <cell r="C15" t="str">
            <v>鹏耀巅峰--孔坤朋</v>
          </cell>
          <cell r="D15">
            <v>5</v>
          </cell>
          <cell r="E15">
            <v>5</v>
          </cell>
          <cell r="F15">
            <v>0</v>
          </cell>
        </row>
        <row r="16">
          <cell r="C16" t="str">
            <v>新兵营1组--李军林</v>
          </cell>
          <cell r="D16">
            <v>7</v>
          </cell>
          <cell r="E16">
            <v>7</v>
          </cell>
          <cell r="F16">
            <v>0</v>
          </cell>
        </row>
        <row r="17">
          <cell r="C17" t="str">
            <v>攻错若石--尤振中</v>
          </cell>
          <cell r="D17">
            <v>4</v>
          </cell>
          <cell r="E17">
            <v>4</v>
          </cell>
          <cell r="F17">
            <v>2</v>
          </cell>
        </row>
        <row r="18">
          <cell r="D18">
            <v>16</v>
          </cell>
          <cell r="E18">
            <v>16</v>
          </cell>
          <cell r="F18">
            <v>2</v>
          </cell>
        </row>
        <row r="19">
          <cell r="C19" t="str">
            <v>星曜同辉</v>
          </cell>
          <cell r="D19">
            <v>1</v>
          </cell>
          <cell r="E19">
            <v>1</v>
          </cell>
          <cell r="F19">
            <v>1</v>
          </cell>
        </row>
        <row r="20">
          <cell r="D20">
            <v>1</v>
          </cell>
          <cell r="E20">
            <v>1</v>
          </cell>
          <cell r="F20">
            <v>1</v>
          </cell>
        </row>
        <row r="21">
          <cell r="D21">
            <v>84</v>
          </cell>
          <cell r="E21">
            <v>79</v>
          </cell>
          <cell r="F21">
            <v>46</v>
          </cell>
        </row>
        <row r="22">
          <cell r="D22">
            <v>84</v>
          </cell>
          <cell r="E22">
            <v>79</v>
          </cell>
          <cell r="F22">
            <v>46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K56"/>
  <sheetViews>
    <sheetView tabSelected="1" topLeftCell="A15" workbookViewId="0">
      <selection activeCell="J33" sqref="J33:K33"/>
    </sheetView>
  </sheetViews>
  <sheetFormatPr defaultColWidth="11.5384615384615" defaultRowHeight="16.5" customHeight="1"/>
  <cols>
    <col min="1" max="1" width="4.90384615384615" style="1" customWidth="1"/>
    <col min="2" max="2" width="6.92307692307692" style="1"/>
    <col min="3" max="3" width="22.9807692307692" style="2" customWidth="1"/>
    <col min="4" max="4" width="11.1057692307692" style="1" customWidth="1"/>
    <col min="5" max="5" width="11.1634615384615" style="1" customWidth="1"/>
    <col min="6" max="6" width="16.5673076923077" style="3" customWidth="1"/>
    <col min="7" max="7" width="16.7307692307692" style="1" customWidth="1"/>
    <col min="8" max="8" width="9.375" style="1"/>
    <col min="9" max="10" width="16.7307692307692" style="1" customWidth="1"/>
    <col min="11" max="11" width="17.3076923076923" style="1" customWidth="1"/>
    <col min="12" max="16384" width="11.5384615384615" style="1"/>
  </cols>
  <sheetData>
    <row r="4" s="1" customFormat="1" ht="18.75" customHeight="1" spans="1:11">
      <c r="A4" s="4" t="s">
        <v>0</v>
      </c>
      <c r="B4" s="5"/>
      <c r="C4" s="6"/>
      <c r="D4" s="5"/>
      <c r="E4" s="5"/>
      <c r="F4" s="5"/>
      <c r="G4" s="5"/>
      <c r="H4" s="5"/>
      <c r="I4" s="5"/>
      <c r="J4" s="5"/>
      <c r="K4" s="5"/>
    </row>
    <row r="5" s="1" customFormat="1" customHeight="1" spans="1:11">
      <c r="A5" s="7" t="s">
        <v>1</v>
      </c>
      <c r="B5" s="7" t="s">
        <v>2</v>
      </c>
      <c r="C5" s="7" t="s">
        <v>3</v>
      </c>
      <c r="D5" s="8" t="s">
        <v>4</v>
      </c>
      <c r="E5" s="8" t="s">
        <v>5</v>
      </c>
      <c r="F5" s="32" t="s">
        <v>6</v>
      </c>
      <c r="G5" s="33" t="s">
        <v>7</v>
      </c>
      <c r="H5" s="33" t="s">
        <v>8</v>
      </c>
      <c r="I5" s="33" t="s">
        <v>9</v>
      </c>
      <c r="J5" s="33" t="s">
        <v>10</v>
      </c>
      <c r="K5" s="33" t="s">
        <v>11</v>
      </c>
    </row>
    <row r="6" s="1" customFormat="1" customHeight="1" spans="1:11">
      <c r="A6" s="9" t="s">
        <v>12</v>
      </c>
      <c r="B6" s="10" t="s">
        <v>13</v>
      </c>
      <c r="C6" s="6" t="s">
        <v>14</v>
      </c>
      <c r="D6" s="11">
        <f>VLOOKUP(C6,[1]个微数据透视表!C:D,2,0)</f>
        <v>8</v>
      </c>
      <c r="E6" s="23">
        <f>VLOOKUP(C6,[1]个微数据透视表!H:I,2,0)</f>
        <v>2</v>
      </c>
      <c r="F6" s="34">
        <f t="shared" ref="F6:F15" si="0">E6/D6</f>
        <v>0.25</v>
      </c>
      <c r="G6" s="35">
        <f>VLOOKUP(C6,[1]爱芯透视!C:F,2,0)</f>
        <v>8</v>
      </c>
      <c r="H6" s="35">
        <f>VLOOKUP(C6,[1]爱芯透视!C:E,3,0)</f>
        <v>8</v>
      </c>
      <c r="I6" s="35">
        <f>VLOOKUP(C6,[1]爱芯透视!C:F,4,0)</f>
        <v>5</v>
      </c>
      <c r="J6" s="34">
        <f t="shared" ref="J6:J15" si="1">H6/G6</f>
        <v>1</v>
      </c>
      <c r="K6" s="34">
        <f t="shared" ref="K6:K15" si="2">I6/G6</f>
        <v>0.625</v>
      </c>
    </row>
    <row r="7" s="1" customFormat="1" customHeight="1" spans="1:11">
      <c r="A7" s="9"/>
      <c r="B7" s="12"/>
      <c r="C7" s="6" t="s">
        <v>15</v>
      </c>
      <c r="D7" s="11">
        <f>VLOOKUP(C7,[1]个微数据透视表!C:D,2,0)</f>
        <v>11</v>
      </c>
      <c r="E7" s="23">
        <f>VLOOKUP(C7,[1]个微数据透视表!H:I,2,0)</f>
        <v>10</v>
      </c>
      <c r="F7" s="34">
        <f t="shared" si="0"/>
        <v>0.909090909090909</v>
      </c>
      <c r="G7" s="35">
        <f>VLOOKUP(C7,[1]爱芯透视!C:F,2,0)</f>
        <v>11</v>
      </c>
      <c r="H7" s="35">
        <f>VLOOKUP(C7,[1]爱芯透视!C:E,3,0)</f>
        <v>11</v>
      </c>
      <c r="I7" s="35">
        <f>VLOOKUP(C7,[1]爱芯透视!C:F,4,0)</f>
        <v>9</v>
      </c>
      <c r="J7" s="34">
        <f t="shared" si="1"/>
        <v>1</v>
      </c>
      <c r="K7" s="34">
        <f t="shared" si="2"/>
        <v>0.818181818181818</v>
      </c>
    </row>
    <row r="8" s="1" customFormat="1" customHeight="1" spans="1:11">
      <c r="A8" s="9"/>
      <c r="B8" s="12"/>
      <c r="C8" s="6" t="s">
        <v>16</v>
      </c>
      <c r="D8" s="11">
        <f>VLOOKUP(C8,[1]个微数据透视表!C:D,2,0)</f>
        <v>9</v>
      </c>
      <c r="E8" s="23">
        <f>VLOOKUP(C8,[1]个微数据透视表!H:I,2,0)</f>
        <v>8</v>
      </c>
      <c r="F8" s="34">
        <f t="shared" si="0"/>
        <v>0.888888888888889</v>
      </c>
      <c r="G8" s="35">
        <f>VLOOKUP(C8,[1]爱芯透视!C:F,2,0)</f>
        <v>9</v>
      </c>
      <c r="H8" s="35">
        <f>VLOOKUP(C8,[1]爱芯透视!C:E,3,0)</f>
        <v>9</v>
      </c>
      <c r="I8" s="35">
        <f>VLOOKUP(C8,[1]爱芯透视!C:F,4,0)</f>
        <v>8</v>
      </c>
      <c r="J8" s="34">
        <f t="shared" si="1"/>
        <v>1</v>
      </c>
      <c r="K8" s="34">
        <f t="shared" si="2"/>
        <v>0.888888888888889</v>
      </c>
    </row>
    <row r="9" s="1" customFormat="1" customHeight="1" spans="1:11">
      <c r="A9" s="9"/>
      <c r="B9" s="12"/>
      <c r="C9" s="6" t="s">
        <v>14</v>
      </c>
      <c r="D9" s="11">
        <f>VLOOKUP(C9,[1]个微数据透视表!C:D,2,0)</f>
        <v>8</v>
      </c>
      <c r="E9" s="23">
        <f>VLOOKUP(C9,[1]个微数据透视表!H:I,2,0)</f>
        <v>2</v>
      </c>
      <c r="F9" s="34">
        <f t="shared" si="0"/>
        <v>0.25</v>
      </c>
      <c r="G9" s="35">
        <f>VLOOKUP(C9,[1]爱芯透视!C:F,2,0)</f>
        <v>8</v>
      </c>
      <c r="H9" s="35">
        <f>VLOOKUP(C9,[1]爱芯透视!C:E,3,0)</f>
        <v>8</v>
      </c>
      <c r="I9" s="35">
        <f>VLOOKUP(C9,[1]爱芯透视!C:F,4,0)</f>
        <v>5</v>
      </c>
      <c r="J9" s="34">
        <f t="shared" si="1"/>
        <v>1</v>
      </c>
      <c r="K9" s="34">
        <f t="shared" si="2"/>
        <v>0.625</v>
      </c>
    </row>
    <row r="10" s="1" customFormat="1" customHeight="1" spans="1:11">
      <c r="A10" s="9"/>
      <c r="B10" s="12"/>
      <c r="C10" s="6" t="s">
        <v>15</v>
      </c>
      <c r="D10" s="11">
        <f>VLOOKUP(C10,[1]个微数据透视表!C:D,2,0)</f>
        <v>11</v>
      </c>
      <c r="E10" s="23">
        <f>VLOOKUP(C10,[1]个微数据透视表!H:I,2,0)</f>
        <v>10</v>
      </c>
      <c r="F10" s="34">
        <f t="shared" si="0"/>
        <v>0.909090909090909</v>
      </c>
      <c r="G10" s="35">
        <f>VLOOKUP(C10,[1]爱芯透视!C:F,2,0)</f>
        <v>11</v>
      </c>
      <c r="H10" s="35">
        <f>VLOOKUP(C10,[1]爱芯透视!C:E,3,0)</f>
        <v>11</v>
      </c>
      <c r="I10" s="35">
        <f>VLOOKUP(C10,[1]爱芯透视!C:F,4,0)</f>
        <v>9</v>
      </c>
      <c r="J10" s="34">
        <f t="shared" si="1"/>
        <v>1</v>
      </c>
      <c r="K10" s="34">
        <f t="shared" si="2"/>
        <v>0.818181818181818</v>
      </c>
    </row>
    <row r="11" s="1" customFormat="1" customHeight="1" spans="1:11">
      <c r="A11" s="9"/>
      <c r="B11" s="13"/>
      <c r="C11" s="6" t="s">
        <v>16</v>
      </c>
      <c r="D11" s="11">
        <f>VLOOKUP(C11,[1]个微数据透视表!C:D,2,0)</f>
        <v>9</v>
      </c>
      <c r="E11" s="23">
        <f>VLOOKUP(C11,[1]个微数据透视表!H:I,2,0)</f>
        <v>8</v>
      </c>
      <c r="F11" s="34">
        <f t="shared" si="0"/>
        <v>0.888888888888889</v>
      </c>
      <c r="G11" s="35">
        <f>VLOOKUP(C11,[1]爱芯透视!C:F,2,0)</f>
        <v>9</v>
      </c>
      <c r="H11" s="35">
        <f>VLOOKUP(C11,[1]爱芯透视!C:E,3,0)</f>
        <v>9</v>
      </c>
      <c r="I11" s="35">
        <f>VLOOKUP(C11,[1]爱芯透视!C:F,4,0)</f>
        <v>8</v>
      </c>
      <c r="J11" s="34">
        <f t="shared" si="1"/>
        <v>1</v>
      </c>
      <c r="K11" s="34">
        <f t="shared" si="2"/>
        <v>0.888888888888889</v>
      </c>
    </row>
    <row r="12" s="1" customFormat="1" customHeight="1" spans="1:11">
      <c r="A12" s="9"/>
      <c r="B12" s="14" t="s">
        <v>17</v>
      </c>
      <c r="C12" s="15"/>
      <c r="D12" s="16">
        <f t="shared" ref="D12:I12" si="3">SUM(D6:D8)</f>
        <v>28</v>
      </c>
      <c r="E12" s="14">
        <f t="shared" si="3"/>
        <v>20</v>
      </c>
      <c r="F12" s="36">
        <f t="shared" si="0"/>
        <v>0.714285714285714</v>
      </c>
      <c r="G12" s="14">
        <f t="shared" si="3"/>
        <v>28</v>
      </c>
      <c r="H12" s="35">
        <f t="shared" si="3"/>
        <v>28</v>
      </c>
      <c r="I12" s="35">
        <f t="shared" si="3"/>
        <v>22</v>
      </c>
      <c r="J12" s="37">
        <f t="shared" si="1"/>
        <v>1</v>
      </c>
      <c r="K12" s="37">
        <f t="shared" si="2"/>
        <v>0.785714285714286</v>
      </c>
    </row>
    <row r="13" s="1" customFormat="1" customHeight="1" spans="1:11">
      <c r="A13" s="9"/>
      <c r="B13" s="10" t="s">
        <v>18</v>
      </c>
      <c r="C13" s="6" t="s">
        <v>19</v>
      </c>
      <c r="D13" s="11">
        <f>VLOOKUP(C13,[1]个微数据透视表!C:D,2,0)</f>
        <v>10</v>
      </c>
      <c r="E13" s="23">
        <f>VLOOKUP(C13,[1]个微数据透视表!H:I,2,0)</f>
        <v>4</v>
      </c>
      <c r="F13" s="34">
        <f t="shared" si="0"/>
        <v>0.4</v>
      </c>
      <c r="G13" s="35">
        <f>VLOOKUP(C13,[1]爱芯透视!C:D,2,0)</f>
        <v>10</v>
      </c>
      <c r="H13" s="35">
        <f>VLOOKUP(C13,[1]爱芯透视!C:E,3,0)</f>
        <v>6</v>
      </c>
      <c r="I13" s="35">
        <f>VLOOKUP(C13,[1]爱芯透视!C:F,4,0)</f>
        <v>4</v>
      </c>
      <c r="J13" s="34">
        <f t="shared" si="1"/>
        <v>0.6</v>
      </c>
      <c r="K13" s="34">
        <f t="shared" si="2"/>
        <v>0.4</v>
      </c>
    </row>
    <row r="14" s="1" customFormat="1" customHeight="1" spans="1:11">
      <c r="A14" s="9"/>
      <c r="B14" s="12"/>
      <c r="C14" s="6" t="s">
        <v>20</v>
      </c>
      <c r="D14" s="11">
        <v>0</v>
      </c>
      <c r="E14" s="23">
        <v>0</v>
      </c>
      <c r="F14" s="34" t="e">
        <f t="shared" si="0"/>
        <v>#DIV/0!</v>
      </c>
      <c r="G14" s="35">
        <v>0</v>
      </c>
      <c r="H14" s="35">
        <v>0</v>
      </c>
      <c r="I14" s="35">
        <v>0</v>
      </c>
      <c r="J14" s="34" t="e">
        <f t="shared" si="1"/>
        <v>#DIV/0!</v>
      </c>
      <c r="K14" s="34" t="e">
        <f t="shared" si="2"/>
        <v>#DIV/0!</v>
      </c>
    </row>
    <row r="15" s="1" customFormat="1" customHeight="1" spans="1:11">
      <c r="A15" s="9"/>
      <c r="B15" s="12"/>
      <c r="C15" s="6" t="s">
        <v>21</v>
      </c>
      <c r="D15" s="11">
        <f>VLOOKUP(C15,[1]个微数据透视表!C:D,2,0)</f>
        <v>6</v>
      </c>
      <c r="E15" s="23">
        <f>VLOOKUP(C15,[1]个微数据透视表!H:I,2,0)</f>
        <v>4</v>
      </c>
      <c r="F15" s="34">
        <f t="shared" si="0"/>
        <v>0.666666666666667</v>
      </c>
      <c r="G15" s="35">
        <f>VLOOKUP(C15,[1]爱芯透视!C:D,2,0)</f>
        <v>6</v>
      </c>
      <c r="H15" s="35">
        <f>VLOOKUP(C15,[1]爱芯透视!C:E,3,0)</f>
        <v>5</v>
      </c>
      <c r="I15" s="35">
        <f>VLOOKUP(C15,[1]爱芯透视!C:F,4,0)</f>
        <v>3</v>
      </c>
      <c r="J15" s="34">
        <f t="shared" si="1"/>
        <v>0.833333333333333</v>
      </c>
      <c r="K15" s="34">
        <f t="shared" si="2"/>
        <v>0.5</v>
      </c>
    </row>
    <row r="16" s="1" customFormat="1" customHeight="1" spans="1:11">
      <c r="A16" s="9"/>
      <c r="B16" s="12"/>
      <c r="C16" s="6"/>
      <c r="D16" s="11"/>
      <c r="E16" s="23"/>
      <c r="F16" s="34"/>
      <c r="G16" s="35"/>
      <c r="H16" s="35"/>
      <c r="I16" s="35"/>
      <c r="J16" s="34"/>
      <c r="K16" s="34"/>
    </row>
    <row r="17" s="1" customFormat="1" customHeight="1" spans="1:11">
      <c r="A17" s="9"/>
      <c r="B17" s="12"/>
      <c r="C17" s="6"/>
      <c r="D17" s="11"/>
      <c r="E17" s="23"/>
      <c r="F17" s="34"/>
      <c r="G17" s="35"/>
      <c r="H17" s="35"/>
      <c r="I17" s="35"/>
      <c r="J17" s="34"/>
      <c r="K17" s="34"/>
    </row>
    <row r="18" s="1" customFormat="1" customHeight="1" spans="1:11">
      <c r="A18" s="9"/>
      <c r="B18" s="13"/>
      <c r="C18" s="6"/>
      <c r="D18" s="11"/>
      <c r="E18" s="23"/>
      <c r="F18" s="34"/>
      <c r="G18" s="35"/>
      <c r="H18" s="35"/>
      <c r="I18" s="35"/>
      <c r="J18" s="34"/>
      <c r="K18" s="34"/>
    </row>
    <row r="19" s="1" customFormat="1" customHeight="1" spans="1:11">
      <c r="A19" s="9"/>
      <c r="B19" s="14" t="s">
        <v>22</v>
      </c>
      <c r="C19" s="15"/>
      <c r="D19" s="16">
        <f t="shared" ref="D19:I19" si="4">SUM(D13:D15)</f>
        <v>16</v>
      </c>
      <c r="E19" s="16">
        <f t="shared" si="4"/>
        <v>8</v>
      </c>
      <c r="F19" s="36">
        <f t="shared" ref="F19:F21" si="5">E19/D19</f>
        <v>0.5</v>
      </c>
      <c r="G19" s="16">
        <f t="shared" si="4"/>
        <v>16</v>
      </c>
      <c r="H19" s="16">
        <f t="shared" si="4"/>
        <v>11</v>
      </c>
      <c r="I19" s="16">
        <f t="shared" si="4"/>
        <v>7</v>
      </c>
      <c r="J19" s="37">
        <f t="shared" ref="J19:J21" si="6">H19/G19</f>
        <v>0.6875</v>
      </c>
      <c r="K19" s="37">
        <f t="shared" ref="K19:K21" si="7">I19/G19</f>
        <v>0.4375</v>
      </c>
    </row>
    <row r="20" s="1" customFormat="1" customHeight="1" spans="1:11">
      <c r="A20" s="9"/>
      <c r="B20" s="10" t="s">
        <v>23</v>
      </c>
      <c r="C20" s="6" t="s">
        <v>24</v>
      </c>
      <c r="D20" s="11">
        <f>VLOOKUP(C20,[1]个微数据透视表!C:D,2,0)</f>
        <v>9</v>
      </c>
      <c r="E20" s="23">
        <f>VLOOKUP(C20,[1]个微数据透视表!H:I,2,0)</f>
        <v>4</v>
      </c>
      <c r="F20" s="34">
        <f t="shared" si="5"/>
        <v>0.444444444444444</v>
      </c>
      <c r="G20" s="35">
        <f>VLOOKUP(C20,[1]爱芯透视!C:F,2,0)</f>
        <v>9</v>
      </c>
      <c r="H20" s="35">
        <f>VLOOKUP(C20,[1]爱芯透视!C:E,3,0)</f>
        <v>9</v>
      </c>
      <c r="I20" s="35">
        <f>VLOOKUP(C20,[1]爱芯透视!C:F,4,0)</f>
        <v>6</v>
      </c>
      <c r="J20" s="34">
        <f t="shared" si="6"/>
        <v>1</v>
      </c>
      <c r="K20" s="34">
        <f t="shared" si="7"/>
        <v>0.666666666666667</v>
      </c>
    </row>
    <row r="21" s="1" customFormat="1" customHeight="1" spans="1:11">
      <c r="A21" s="9"/>
      <c r="B21" s="12"/>
      <c r="C21" s="6" t="s">
        <v>25</v>
      </c>
      <c r="D21" s="11">
        <f>VLOOKUP(C21,[1]个微数据透视表!C:D,2,0)</f>
        <v>14</v>
      </c>
      <c r="E21" s="23">
        <f>VLOOKUP(C21,[1]个微数据透视表!H:I,2,0)</f>
        <v>7</v>
      </c>
      <c r="F21" s="34">
        <f t="shared" si="5"/>
        <v>0.5</v>
      </c>
      <c r="G21" s="35">
        <f>VLOOKUP(C21,[1]爱芯透视!C:F,2,0)</f>
        <v>14</v>
      </c>
      <c r="H21" s="35">
        <f>VLOOKUP(C21,[1]爱芯透视!C:E,3,0)</f>
        <v>14</v>
      </c>
      <c r="I21" s="35">
        <f>VLOOKUP(C21,[1]爱芯透视!C:F,4,0)</f>
        <v>8</v>
      </c>
      <c r="J21" s="34">
        <f t="shared" si="6"/>
        <v>1</v>
      </c>
      <c r="K21" s="34">
        <f t="shared" si="7"/>
        <v>0.571428571428571</v>
      </c>
    </row>
    <row r="22" s="1" customFormat="1" customHeight="1" spans="1:11">
      <c r="A22" s="9"/>
      <c r="B22" s="12"/>
      <c r="C22" s="6"/>
      <c r="D22" s="11"/>
      <c r="E22" s="23"/>
      <c r="F22" s="34"/>
      <c r="G22" s="35"/>
      <c r="H22" s="35"/>
      <c r="I22" s="35"/>
      <c r="J22" s="34"/>
      <c r="K22" s="34"/>
    </row>
    <row r="23" s="1" customFormat="1" customHeight="1" spans="1:11">
      <c r="A23" s="9"/>
      <c r="B23" s="12"/>
      <c r="C23" s="6"/>
      <c r="D23" s="11"/>
      <c r="E23" s="23"/>
      <c r="F23" s="34"/>
      <c r="G23" s="35"/>
      <c r="H23" s="35"/>
      <c r="I23" s="35"/>
      <c r="J23" s="34"/>
      <c r="K23" s="34"/>
    </row>
    <row r="24" s="1" customFormat="1" customHeight="1" spans="1:11">
      <c r="A24" s="9"/>
      <c r="B24" s="12"/>
      <c r="C24" s="6"/>
      <c r="D24" s="11"/>
      <c r="E24" s="23"/>
      <c r="F24" s="34"/>
      <c r="G24" s="35"/>
      <c r="H24" s="35"/>
      <c r="I24" s="35"/>
      <c r="J24" s="34"/>
      <c r="K24" s="34"/>
    </row>
    <row r="25" s="1" customFormat="1" customHeight="1" spans="1:11">
      <c r="A25" s="9"/>
      <c r="B25" s="13"/>
      <c r="C25" s="6"/>
      <c r="D25" s="11"/>
      <c r="E25" s="23"/>
      <c r="F25" s="34"/>
      <c r="G25" s="35"/>
      <c r="H25" s="35"/>
      <c r="I25" s="35"/>
      <c r="J25" s="34"/>
      <c r="K25" s="34"/>
    </row>
    <row r="26" s="1" customFormat="1" customHeight="1" spans="1:11">
      <c r="A26" s="9"/>
      <c r="B26" s="14" t="s">
        <v>26</v>
      </c>
      <c r="C26" s="15"/>
      <c r="D26" s="16">
        <f t="shared" ref="D26:I26" si="8">SUM(D20:D21)</f>
        <v>23</v>
      </c>
      <c r="E26" s="14">
        <f t="shared" si="8"/>
        <v>11</v>
      </c>
      <c r="F26" s="36">
        <f t="shared" ref="F26:F29" si="9">E26/D26</f>
        <v>0.478260869565217</v>
      </c>
      <c r="G26" s="14">
        <f t="shared" si="8"/>
        <v>23</v>
      </c>
      <c r="H26" s="14">
        <f t="shared" si="8"/>
        <v>23</v>
      </c>
      <c r="I26" s="14">
        <f t="shared" si="8"/>
        <v>14</v>
      </c>
      <c r="J26" s="37">
        <f t="shared" ref="J26:J29" si="10">H26/G26</f>
        <v>1</v>
      </c>
      <c r="K26" s="37">
        <f t="shared" ref="K26:K29" si="11">I26/G26</f>
        <v>0.608695652173913</v>
      </c>
    </row>
    <row r="27" s="1" customFormat="1" customHeight="1" spans="1:11">
      <c r="A27" s="9"/>
      <c r="B27" s="17" t="s">
        <v>27</v>
      </c>
      <c r="C27" s="18" t="s">
        <v>28</v>
      </c>
      <c r="D27" s="11">
        <f>VLOOKUP(C27,[1]个微数据透视表!C:D,2,0)</f>
        <v>7</v>
      </c>
      <c r="E27" s="23">
        <v>0</v>
      </c>
      <c r="F27" s="34">
        <f t="shared" si="9"/>
        <v>0</v>
      </c>
      <c r="G27" s="35">
        <f>VLOOKUP(C27,[1]爱芯透视!C:F,2,0)</f>
        <v>7</v>
      </c>
      <c r="H27" s="35">
        <f>VLOOKUP(C27,[1]爱芯透视!C:E,3,0)</f>
        <v>7</v>
      </c>
      <c r="I27" s="35">
        <f>VLOOKUP(C27,[1]爱芯透视!C:F,4,0)</f>
        <v>0</v>
      </c>
      <c r="J27" s="34">
        <f t="shared" si="10"/>
        <v>1</v>
      </c>
      <c r="K27" s="34">
        <f t="shared" si="11"/>
        <v>0</v>
      </c>
    </row>
    <row r="28" s="1" customFormat="1" customHeight="1" spans="1:11">
      <c r="A28" s="9"/>
      <c r="B28" s="19"/>
      <c r="C28" s="6" t="s">
        <v>29</v>
      </c>
      <c r="D28" s="11">
        <f>VLOOKUP(C28,[1]个微数据透视表!C:D,2,0)</f>
        <v>5</v>
      </c>
      <c r="E28" s="23">
        <f>VLOOKUP(C28,[1]个微数据透视表!H:I,2,0)</f>
        <v>2</v>
      </c>
      <c r="F28" s="34">
        <f t="shared" si="9"/>
        <v>0.4</v>
      </c>
      <c r="G28" s="35">
        <f>VLOOKUP(C28,[1]爱芯透视!C:F,2,0)</f>
        <v>5</v>
      </c>
      <c r="H28" s="35">
        <f>VLOOKUP(C28,[1]爱芯透视!C:E,3,0)</f>
        <v>5</v>
      </c>
      <c r="I28" s="35">
        <f>VLOOKUP(C28,[1]爱芯透视!C:F,4,0)</f>
        <v>0</v>
      </c>
      <c r="J28" s="34">
        <f t="shared" si="10"/>
        <v>1</v>
      </c>
      <c r="K28" s="34">
        <f t="shared" si="11"/>
        <v>0</v>
      </c>
    </row>
    <row r="29" s="1" customFormat="1" customHeight="1" spans="1:11">
      <c r="A29" s="9"/>
      <c r="B29" s="19"/>
      <c r="C29" s="20" t="s">
        <v>30</v>
      </c>
      <c r="D29" s="11">
        <f>VLOOKUP(C29,[1]个微数据透视表!C:D,2,0)</f>
        <v>4</v>
      </c>
      <c r="E29" s="23">
        <v>0</v>
      </c>
      <c r="F29" s="34">
        <f t="shared" si="9"/>
        <v>0</v>
      </c>
      <c r="G29" s="35">
        <f>VLOOKUP(C29,[1]爱芯透视!C:F,2,0)</f>
        <v>4</v>
      </c>
      <c r="H29" s="35">
        <f>VLOOKUP(C29,[1]爱芯透视!C:E,3,0)</f>
        <v>4</v>
      </c>
      <c r="I29" s="35">
        <f>VLOOKUP(C29,[1]爱芯透视!C:F,4,0)</f>
        <v>2</v>
      </c>
      <c r="J29" s="34">
        <f t="shared" si="10"/>
        <v>1</v>
      </c>
      <c r="K29" s="34">
        <f t="shared" si="11"/>
        <v>0.5</v>
      </c>
    </row>
    <row r="30" s="1" customFormat="1" customHeight="1" spans="1:11">
      <c r="A30" s="9"/>
      <c r="B30" s="21"/>
      <c r="C30" s="22"/>
      <c r="D30" s="16"/>
      <c r="E30" s="16"/>
      <c r="F30" s="37"/>
      <c r="G30" s="16"/>
      <c r="H30" s="16"/>
      <c r="I30" s="16"/>
      <c r="J30" s="37"/>
      <c r="K30" s="37"/>
    </row>
    <row r="31" s="1" customFormat="1" customHeight="1" spans="1:11">
      <c r="A31" s="23"/>
      <c r="B31" s="24" t="s">
        <v>31</v>
      </c>
      <c r="C31" s="22"/>
      <c r="D31" s="16">
        <f t="shared" ref="D31:I31" si="12">SUM(D27:D29)</f>
        <v>16</v>
      </c>
      <c r="E31" s="16">
        <f t="shared" si="12"/>
        <v>2</v>
      </c>
      <c r="F31" s="37">
        <f>E31/D31</f>
        <v>0.125</v>
      </c>
      <c r="G31" s="16">
        <f t="shared" si="12"/>
        <v>16</v>
      </c>
      <c r="H31" s="16">
        <f t="shared" si="12"/>
        <v>16</v>
      </c>
      <c r="I31" s="16">
        <f t="shared" si="12"/>
        <v>2</v>
      </c>
      <c r="J31" s="37">
        <f>H31/G31</f>
        <v>1</v>
      </c>
      <c r="K31" s="37">
        <f>I31/G31</f>
        <v>0.125</v>
      </c>
    </row>
    <row r="32" s="1" customFormat="1" customHeight="1" spans="1:11">
      <c r="A32" s="25" t="s">
        <v>32</v>
      </c>
      <c r="B32" s="25"/>
      <c r="C32" s="25"/>
      <c r="D32" s="26">
        <f>SUM(D12,D19,D26)</f>
        <v>67</v>
      </c>
      <c r="E32" s="26">
        <f>SUM(E12,E19,E26)</f>
        <v>39</v>
      </c>
      <c r="F32" s="38">
        <f>E32/D32</f>
        <v>0.582089552238806</v>
      </c>
      <c r="G32" s="26">
        <f t="shared" ref="G32:I32" si="13">SUM(G12,G19,G26,G31)</f>
        <v>83</v>
      </c>
      <c r="H32" s="26">
        <f t="shared" si="13"/>
        <v>78</v>
      </c>
      <c r="I32" s="26">
        <f t="shared" si="13"/>
        <v>45</v>
      </c>
      <c r="J32" s="37">
        <f>H32/G32</f>
        <v>0.939759036144578</v>
      </c>
      <c r="K32" s="37">
        <f>I32/G32</f>
        <v>0.542168674698795</v>
      </c>
    </row>
    <row r="33" s="1" customFormat="1" customHeight="1" spans="1:11">
      <c r="A33" s="27"/>
      <c r="B33" s="28"/>
      <c r="C33" s="29"/>
      <c r="D33" s="30"/>
      <c r="E33" s="30"/>
      <c r="F33" s="39"/>
      <c r="G33" s="30"/>
      <c r="H33" s="30"/>
      <c r="I33" s="30"/>
      <c r="J33" s="30"/>
      <c r="K33" s="30"/>
    </row>
    <row r="37" s="1" customFormat="1" customHeight="1" spans="3:6">
      <c r="C37" s="31"/>
      <c r="F37" s="31"/>
    </row>
    <row r="38" s="1" customFormat="1" customHeight="1" spans="3:6">
      <c r="C38" s="31"/>
      <c r="F38" s="31"/>
    </row>
    <row r="39" s="1" customFormat="1" customHeight="1" spans="3:6">
      <c r="C39" s="31"/>
      <c r="F39" s="31"/>
    </row>
    <row r="40" s="1" customFormat="1" customHeight="1" spans="3:6">
      <c r="C40" s="31"/>
      <c r="F40" s="31"/>
    </row>
    <row r="41" s="1" customFormat="1" customHeight="1" spans="3:6">
      <c r="C41" s="31"/>
      <c r="F41" s="31"/>
    </row>
    <row r="42" s="1" customFormat="1" customHeight="1" spans="3:6">
      <c r="C42" s="31"/>
      <c r="F42" s="31"/>
    </row>
    <row r="43" s="1" customFormat="1" customHeight="1" spans="3:6">
      <c r="C43" s="31"/>
      <c r="F43" s="31"/>
    </row>
    <row r="44" s="1" customFormat="1" customHeight="1" spans="3:6">
      <c r="C44" s="31"/>
      <c r="F44" s="31"/>
    </row>
    <row r="45" s="1" customFormat="1" customHeight="1" spans="3:6">
      <c r="C45" s="31"/>
      <c r="F45" s="31"/>
    </row>
    <row r="46" s="1" customFormat="1" customHeight="1" spans="3:6">
      <c r="C46" s="31"/>
      <c r="F46" s="31"/>
    </row>
    <row r="47" s="1" customFormat="1" customHeight="1" spans="3:6">
      <c r="C47" s="31"/>
      <c r="F47" s="31"/>
    </row>
    <row r="48" s="1" customFormat="1" customHeight="1" spans="3:6">
      <c r="C48" s="31"/>
      <c r="F48" s="31"/>
    </row>
    <row r="49" s="1" customFormat="1" customHeight="1" spans="3:6">
      <c r="C49" s="31"/>
      <c r="F49" s="31"/>
    </row>
    <row r="50" s="1" customFormat="1" customHeight="1" spans="3:6">
      <c r="C50" s="31"/>
      <c r="F50" s="31"/>
    </row>
    <row r="51" s="1" customFormat="1" customHeight="1" spans="3:6">
      <c r="C51" s="31"/>
      <c r="F51" s="31"/>
    </row>
    <row r="52" s="1" customFormat="1" customHeight="1" spans="3:6">
      <c r="C52" s="31"/>
      <c r="F52" s="31"/>
    </row>
    <row r="53" s="1" customFormat="1" customHeight="1" spans="3:6">
      <c r="C53" s="31"/>
      <c r="F53" s="31"/>
    </row>
    <row r="54" s="1" customFormat="1" customHeight="1" spans="3:6">
      <c r="C54" s="31"/>
      <c r="F54" s="31"/>
    </row>
    <row r="55" s="1" customFormat="1" customHeight="1" spans="3:6">
      <c r="C55" s="31"/>
      <c r="F55" s="31"/>
    </row>
    <row r="56" s="1" customFormat="1" customHeight="1" spans="3:6">
      <c r="C56" s="31"/>
      <c r="F56" s="31"/>
    </row>
  </sheetData>
  <mergeCells count="12">
    <mergeCell ref="A4:K4"/>
    <mergeCell ref="B12:C12"/>
    <mergeCell ref="B19:C19"/>
    <mergeCell ref="B26:C26"/>
    <mergeCell ref="B31:C31"/>
    <mergeCell ref="A32:C32"/>
    <mergeCell ref="A33:C33"/>
    <mergeCell ref="A6:A31"/>
    <mergeCell ref="B6:B11"/>
    <mergeCell ref="B13:B18"/>
    <mergeCell ref="B20:B25"/>
    <mergeCell ref="B27:B30"/>
  </mergeCells>
  <conditionalFormatting sqref="F6">
    <cfRule type="dataBar" priority="77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{7ee6c625-1586-4dc0-abbf-e81e88b7f96b}</x14:id>
        </ext>
      </extLst>
    </cfRule>
  </conditionalFormatting>
  <conditionalFormatting sqref="F7">
    <cfRule type="dataBar" priority="78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{96f5f86a-765f-423e-a816-bb63ee8c50e7}</x14:id>
        </ext>
      </extLst>
    </cfRule>
  </conditionalFormatting>
  <conditionalFormatting sqref="F8">
    <cfRule type="dataBar" priority="85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{9fd48598-7839-4591-b8a6-61a16acc3b65}</x14:id>
        </ext>
      </extLst>
    </cfRule>
  </conditionalFormatting>
  <conditionalFormatting sqref="F9">
    <cfRule type="dataBar" priority="57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{f6847be5-fcf1-443e-abe7-caa8b78f2d92}</x14:id>
        </ext>
      </extLst>
    </cfRule>
  </conditionalFormatting>
  <conditionalFormatting sqref="F10">
    <cfRule type="dataBar" priority="58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{e1273c50-b689-41d5-89bf-0eeb32b8672e}</x14:id>
        </ext>
      </extLst>
    </cfRule>
  </conditionalFormatting>
  <conditionalFormatting sqref="F11">
    <cfRule type="dataBar" priority="59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{9ddc39bf-6bdf-49f7-9e51-c1fa53f7598c}</x14:id>
        </ext>
      </extLst>
    </cfRule>
  </conditionalFormatting>
  <conditionalFormatting sqref="F13">
    <cfRule type="dataBar" priority="43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{dd746b32-15ce-48f1-997b-c0a22652f267}</x14:id>
        </ext>
      </extLst>
    </cfRule>
  </conditionalFormatting>
  <conditionalFormatting sqref="F14">
    <cfRule type="dataBar" priority="44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{c98a23f4-8cf3-4cca-be6e-412a65b018ff}</x14:id>
        </ext>
      </extLst>
    </cfRule>
  </conditionalFormatting>
  <conditionalFormatting sqref="F15">
    <cfRule type="dataBar" priority="45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{268a26dd-5d0a-46cc-9949-f847838d58a2}</x14:id>
        </ext>
      </extLst>
    </cfRule>
  </conditionalFormatting>
  <conditionalFormatting sqref="F16">
    <cfRule type="dataBar" priority="29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{4dc47951-c98b-4c50-9d48-f23454d79f12}</x14:id>
        </ext>
      </extLst>
    </cfRule>
  </conditionalFormatting>
  <conditionalFormatting sqref="F17">
    <cfRule type="dataBar" priority="30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{87945583-88ac-4031-95a5-8037cabea039}</x14:id>
        </ext>
      </extLst>
    </cfRule>
  </conditionalFormatting>
  <conditionalFormatting sqref="F18">
    <cfRule type="dataBar" priority="31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{a3171f85-c332-4b5a-98aa-b49dea421719}</x14:id>
        </ext>
      </extLst>
    </cfRule>
  </conditionalFormatting>
  <conditionalFormatting sqref="F20">
    <cfRule type="dataBar" priority="15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{44cddeb2-946d-4fbd-bf1d-5e19867834b9}</x14:id>
        </ext>
      </extLst>
    </cfRule>
  </conditionalFormatting>
  <conditionalFormatting sqref="F21">
    <cfRule type="dataBar" priority="16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{d85fbe16-2bcb-4aa4-9740-b059ad799626}</x14:id>
        </ext>
      </extLst>
    </cfRule>
  </conditionalFormatting>
  <conditionalFormatting sqref="F22">
    <cfRule type="dataBar" priority="17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{605943d0-0bbc-4840-81d7-637867c43022}</x14:id>
        </ext>
      </extLst>
    </cfRule>
  </conditionalFormatting>
  <conditionalFormatting sqref="F23">
    <cfRule type="dataBar" priority="1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{1986563c-205d-41b2-bc11-c99b846504a3}</x14:id>
        </ext>
      </extLst>
    </cfRule>
  </conditionalFormatting>
  <conditionalFormatting sqref="F24">
    <cfRule type="dataBar" priority="2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{397dc42d-bc29-46f3-a2b9-a2859da48a22}</x14:id>
        </ext>
      </extLst>
    </cfRule>
  </conditionalFormatting>
  <conditionalFormatting sqref="F25">
    <cfRule type="dataBar" priority="3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{849cb9de-069e-4f11-b8cd-8620d35a4022}</x14:id>
        </ext>
      </extLst>
    </cfRule>
  </conditionalFormatting>
  <conditionalFormatting sqref="F31">
    <cfRule type="dataBar" priority="86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{6179076d-429f-4609-9dd0-2598aa5f34e7}</x14:id>
        </ext>
      </extLst>
    </cfRule>
  </conditionalFormatting>
  <conditionalFormatting sqref="F33">
    <cfRule type="cellIs" dxfId="0" priority="75" operator="lessThan">
      <formula>0.5</formula>
    </cfRule>
    <cfRule type="cellIs" dxfId="1" priority="74" operator="equal">
      <formula>1</formula>
    </cfRule>
  </conditionalFormatting>
  <conditionalFormatting sqref="F9:F11">
    <cfRule type="cellIs" dxfId="0" priority="61" operator="lessThan">
      <formula>0.5</formula>
    </cfRule>
    <cfRule type="cellIs" dxfId="1" priority="60" operator="equal">
      <formula>1</formula>
    </cfRule>
  </conditionalFormatting>
  <conditionalFormatting sqref="F13:F15">
    <cfRule type="cellIs" dxfId="0" priority="47" operator="lessThan">
      <formula>0.5</formula>
    </cfRule>
    <cfRule type="cellIs" dxfId="1" priority="46" operator="equal">
      <formula>1</formula>
    </cfRule>
  </conditionalFormatting>
  <conditionalFormatting sqref="F16:F18">
    <cfRule type="cellIs" dxfId="0" priority="33" operator="lessThan">
      <formula>0.5</formula>
    </cfRule>
    <cfRule type="cellIs" dxfId="1" priority="32" operator="equal">
      <formula>1</formula>
    </cfRule>
  </conditionalFormatting>
  <conditionalFormatting sqref="F20:F22">
    <cfRule type="cellIs" dxfId="0" priority="19" operator="lessThan">
      <formula>0.5</formula>
    </cfRule>
    <cfRule type="cellIs" dxfId="1" priority="18" operator="equal">
      <formula>1</formula>
    </cfRule>
  </conditionalFormatting>
  <conditionalFormatting sqref="F23:F25">
    <cfRule type="cellIs" dxfId="0" priority="5" operator="lessThan">
      <formula>0.5</formula>
    </cfRule>
    <cfRule type="cellIs" dxfId="1" priority="4" operator="equal">
      <formula>1</formula>
    </cfRule>
  </conditionalFormatting>
  <conditionalFormatting sqref="F27:F30">
    <cfRule type="dataBar" priority="100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{06420a57-26df-42bb-90d1-fac2e7a25b5e}</x14:id>
        </ext>
      </extLst>
    </cfRule>
    <cfRule type="cellIs" dxfId="0" priority="99" operator="lessThan">
      <formula>0.5</formula>
    </cfRule>
    <cfRule type="cellIs" dxfId="1" priority="98" operator="equal">
      <formula>1</formula>
    </cfRule>
  </conditionalFormatting>
  <conditionalFormatting sqref="J9:J11">
    <cfRule type="dataBar" priority="69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{dae99485-083c-4186-be01-8627d1f2d4c9}</x14:id>
        </ext>
      </extLst>
    </cfRule>
    <cfRule type="cellIs" dxfId="0" priority="67" operator="lessThan">
      <formula>0.5</formula>
    </cfRule>
    <cfRule type="cellIs" dxfId="1" priority="65" operator="equal">
      <formula>1</formula>
    </cfRule>
    <cfRule type="dataBar" priority="64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{ce33714e-97e7-4ad6-9e57-d74d751672b5}</x14:id>
        </ext>
      </extLst>
    </cfRule>
  </conditionalFormatting>
  <conditionalFormatting sqref="J13:J15">
    <cfRule type="dataBar" priority="55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{efc130c9-fefb-4d94-b696-27ecf300fb45}</x14:id>
        </ext>
      </extLst>
    </cfRule>
    <cfRule type="cellIs" dxfId="0" priority="53" operator="lessThan">
      <formula>0.5</formula>
    </cfRule>
    <cfRule type="cellIs" dxfId="1" priority="51" operator="equal">
      <formula>1</formula>
    </cfRule>
    <cfRule type="dataBar" priority="50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{6abc6d41-9964-4fbd-b4f9-edb6b5038e07}</x14:id>
        </ext>
      </extLst>
    </cfRule>
  </conditionalFormatting>
  <conditionalFormatting sqref="J16:J18">
    <cfRule type="dataBar" priority="41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{8518e1f1-b38b-4285-a2c7-707db749589b}</x14:id>
        </ext>
      </extLst>
    </cfRule>
    <cfRule type="cellIs" dxfId="0" priority="39" operator="lessThan">
      <formula>0.5</formula>
    </cfRule>
    <cfRule type="cellIs" dxfId="1" priority="37" operator="equal">
      <formula>1</formula>
    </cfRule>
    <cfRule type="dataBar" priority="36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{2cab2414-615b-4b76-9dd4-be2be4c982a2}</x14:id>
        </ext>
      </extLst>
    </cfRule>
  </conditionalFormatting>
  <conditionalFormatting sqref="J20:J22">
    <cfRule type="dataBar" priority="27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{77d7f238-9de8-42fd-b92c-372f9e99aea2}</x14:id>
        </ext>
      </extLst>
    </cfRule>
    <cfRule type="cellIs" dxfId="0" priority="25" operator="lessThan">
      <formula>0.5</formula>
    </cfRule>
    <cfRule type="cellIs" dxfId="1" priority="23" operator="equal">
      <formula>1</formula>
    </cfRule>
    <cfRule type="dataBar" priority="22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{665f7bf2-88f4-4fee-bbf0-f6d3a03c139a}</x14:id>
        </ext>
      </extLst>
    </cfRule>
  </conditionalFormatting>
  <conditionalFormatting sqref="J23:J25">
    <cfRule type="dataBar" priority="13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{72695804-81bb-4911-ace1-72f2ad357d21}</x14:id>
        </ext>
      </extLst>
    </cfRule>
    <cfRule type="cellIs" dxfId="0" priority="11" operator="lessThan">
      <formula>0.5</formula>
    </cfRule>
    <cfRule type="cellIs" dxfId="1" priority="9" operator="equal">
      <formula>1</formula>
    </cfRule>
    <cfRule type="dataBar" priority="8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{da01f0c5-3248-4785-91c5-1cfaf286dec1}</x14:id>
        </ext>
      </extLst>
    </cfRule>
  </conditionalFormatting>
  <conditionalFormatting sqref="J27:J30">
    <cfRule type="dataBar" priority="108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{17576e71-85a5-43e2-9b58-520af714585c}</x14:id>
        </ext>
      </extLst>
    </cfRule>
    <cfRule type="cellIs" dxfId="0" priority="106" operator="lessThan">
      <formula>0.5</formula>
    </cfRule>
    <cfRule type="cellIs" dxfId="1" priority="104" operator="equal">
      <formula>1</formula>
    </cfRule>
    <cfRule type="dataBar" priority="103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{0500a752-5c66-4245-8241-83be1d116e68}</x14:id>
        </ext>
      </extLst>
    </cfRule>
  </conditionalFormatting>
  <conditionalFormatting sqref="K9:K11">
    <cfRule type="dataBar" priority="70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{41f4d83e-3fc0-4dc8-8158-235c7aa40544}</x14:id>
        </ext>
      </extLst>
    </cfRule>
    <cfRule type="cellIs" dxfId="0" priority="68" operator="lessThan">
      <formula>0.5</formula>
    </cfRule>
    <cfRule type="cellIs" dxfId="1" priority="66" operator="equal">
      <formula>1</formula>
    </cfRule>
    <cfRule type="dataBar" priority="63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{09d28373-df0b-4210-acbc-d67561e82794}</x14:id>
        </ext>
      </extLst>
    </cfRule>
    <cfRule type="dataBar" priority="62">
      <dataBar>
        <cfvo type="min"/>
        <cfvo type="max"/>
        <color rgb="FF7BE5BB"/>
      </dataBar>
      <extLst>
        <ext xmlns:x14="http://schemas.microsoft.com/office/spreadsheetml/2009/9/main" uri="{B025F937-C7B1-47D3-B67F-A62EFF666E3E}">
          <x14:id>{5e6d77c0-f7da-475c-8167-18685238a67c}</x14:id>
        </ext>
      </extLst>
    </cfRule>
  </conditionalFormatting>
  <conditionalFormatting sqref="K13:K15">
    <cfRule type="dataBar" priority="56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{048ba3da-eaed-4a85-9e31-8255b1060a00}</x14:id>
        </ext>
      </extLst>
    </cfRule>
    <cfRule type="cellIs" dxfId="0" priority="54" operator="lessThan">
      <formula>0.5</formula>
    </cfRule>
    <cfRule type="cellIs" dxfId="1" priority="52" operator="equal">
      <formula>1</formula>
    </cfRule>
    <cfRule type="dataBar" priority="49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{862472dd-8355-41e5-b659-fb3e204bcbc7}</x14:id>
        </ext>
      </extLst>
    </cfRule>
    <cfRule type="dataBar" priority="48">
      <dataBar>
        <cfvo type="min"/>
        <cfvo type="max"/>
        <color rgb="FF7BE5BB"/>
      </dataBar>
      <extLst>
        <ext xmlns:x14="http://schemas.microsoft.com/office/spreadsheetml/2009/9/main" uri="{B025F937-C7B1-47D3-B67F-A62EFF666E3E}">
          <x14:id>{e11036ee-b991-4bc9-95e2-9d935718312f}</x14:id>
        </ext>
      </extLst>
    </cfRule>
  </conditionalFormatting>
  <conditionalFormatting sqref="K16:K18">
    <cfRule type="dataBar" priority="42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{d319730b-f14c-4617-91da-d1e1c146f744}</x14:id>
        </ext>
      </extLst>
    </cfRule>
    <cfRule type="cellIs" dxfId="0" priority="40" operator="lessThan">
      <formula>0.5</formula>
    </cfRule>
    <cfRule type="cellIs" dxfId="1" priority="38" operator="equal">
      <formula>1</formula>
    </cfRule>
    <cfRule type="dataBar" priority="35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{a1ab5df2-436a-4165-a644-a4fa489c1cfe}</x14:id>
        </ext>
      </extLst>
    </cfRule>
    <cfRule type="dataBar" priority="34">
      <dataBar>
        <cfvo type="min"/>
        <cfvo type="max"/>
        <color rgb="FF7BE5BB"/>
      </dataBar>
      <extLst>
        <ext xmlns:x14="http://schemas.microsoft.com/office/spreadsheetml/2009/9/main" uri="{B025F937-C7B1-47D3-B67F-A62EFF666E3E}">
          <x14:id>{74878674-3c96-47b9-ae29-429c8b273394}</x14:id>
        </ext>
      </extLst>
    </cfRule>
  </conditionalFormatting>
  <conditionalFormatting sqref="K20:K22">
    <cfRule type="dataBar" priority="28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{44d5dec2-1a9f-4932-b264-e84da7d043d3}</x14:id>
        </ext>
      </extLst>
    </cfRule>
    <cfRule type="cellIs" dxfId="0" priority="26" operator="lessThan">
      <formula>0.5</formula>
    </cfRule>
    <cfRule type="cellIs" dxfId="1" priority="24" operator="equal">
      <formula>1</formula>
    </cfRule>
    <cfRule type="dataBar" priority="21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{5ef08b1d-ff19-44b2-ba62-ce340ec386a3}</x14:id>
        </ext>
      </extLst>
    </cfRule>
    <cfRule type="dataBar" priority="20">
      <dataBar>
        <cfvo type="min"/>
        <cfvo type="max"/>
        <color rgb="FF7BE5BB"/>
      </dataBar>
      <extLst>
        <ext xmlns:x14="http://schemas.microsoft.com/office/spreadsheetml/2009/9/main" uri="{B025F937-C7B1-47D3-B67F-A62EFF666E3E}">
          <x14:id>{ce7bbe26-0231-47d0-9179-0d23c4876ea4}</x14:id>
        </ext>
      </extLst>
    </cfRule>
  </conditionalFormatting>
  <conditionalFormatting sqref="K23:K25">
    <cfRule type="dataBar" priority="14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{2b73745b-7b73-43bc-bfbb-01f22904dbed}</x14:id>
        </ext>
      </extLst>
    </cfRule>
    <cfRule type="cellIs" dxfId="0" priority="12" operator="lessThan">
      <formula>0.5</formula>
    </cfRule>
    <cfRule type="cellIs" dxfId="1" priority="10" operator="equal">
      <formula>1</formula>
    </cfRule>
    <cfRule type="dataBar" priority="7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{a3fdc1b5-15ae-4583-8f83-9e8ae36714fc}</x14:id>
        </ext>
      </extLst>
    </cfRule>
    <cfRule type="dataBar" priority="6">
      <dataBar>
        <cfvo type="min"/>
        <cfvo type="max"/>
        <color rgb="FF7BE5BB"/>
      </dataBar>
      <extLst>
        <ext xmlns:x14="http://schemas.microsoft.com/office/spreadsheetml/2009/9/main" uri="{B025F937-C7B1-47D3-B67F-A62EFF666E3E}">
          <x14:id>{fb6753d7-1a8c-438d-8c77-406081a4e723}</x14:id>
        </ext>
      </extLst>
    </cfRule>
  </conditionalFormatting>
  <conditionalFormatting sqref="K27:K30">
    <cfRule type="dataBar" priority="109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{a537c3a7-1d77-457f-8322-a8baaab2a5a6}</x14:id>
        </ext>
      </extLst>
    </cfRule>
    <cfRule type="cellIs" dxfId="0" priority="107" operator="lessThan">
      <formula>0.5</formula>
    </cfRule>
    <cfRule type="cellIs" dxfId="1" priority="105" operator="equal">
      <formula>1</formula>
    </cfRule>
    <cfRule type="dataBar" priority="102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{8bba2d93-172d-47ac-9638-25c22e81ac82}</x14:id>
        </ext>
      </extLst>
    </cfRule>
    <cfRule type="dataBar" priority="101">
      <dataBar>
        <cfvo type="min"/>
        <cfvo type="max"/>
        <color rgb="FF7BE5BB"/>
      </dataBar>
      <extLst>
        <ext xmlns:x14="http://schemas.microsoft.com/office/spreadsheetml/2009/9/main" uri="{B025F937-C7B1-47D3-B67F-A62EFF666E3E}">
          <x14:id>{d61587eb-8126-47b5-b85a-c341582c4166}</x14:id>
        </ext>
      </extLst>
    </cfRule>
  </conditionalFormatting>
  <conditionalFormatting sqref="F6:F8 F12 F19 F26 F31:F32">
    <cfRule type="cellIs" dxfId="0" priority="88" operator="lessThan">
      <formula>0.5</formula>
    </cfRule>
    <cfRule type="cellIs" dxfId="1" priority="87" operator="equal">
      <formula>1</formula>
    </cfRule>
  </conditionalFormatting>
  <conditionalFormatting sqref="J6:J8 J12 J19 J26 J31:J32">
    <cfRule type="dataBar" priority="96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{8360ed65-ae03-4683-917c-c6c05a7d23b1}</x14:id>
        </ext>
      </extLst>
    </cfRule>
    <cfRule type="cellIs" dxfId="0" priority="94" operator="lessThan">
      <formula>0.5</formula>
    </cfRule>
    <cfRule type="cellIs" dxfId="1" priority="92" operator="equal">
      <formula>1</formula>
    </cfRule>
    <cfRule type="dataBar" priority="91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{d1ba8be6-195e-41ad-8cf5-ae862a7eec62}</x14:id>
        </ext>
      </extLst>
    </cfRule>
  </conditionalFormatting>
  <conditionalFormatting sqref="K6:K8 K12 K19 K26 K31:K32">
    <cfRule type="dataBar" priority="97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{254d7659-7fd8-4e24-b800-c9a3d6acf482}</x14:id>
        </ext>
      </extLst>
    </cfRule>
    <cfRule type="cellIs" dxfId="0" priority="95" operator="lessThan">
      <formula>0.5</formula>
    </cfRule>
    <cfRule type="cellIs" dxfId="1" priority="93" operator="equal">
      <formula>1</formula>
    </cfRule>
    <cfRule type="dataBar" priority="90">
      <dataBar>
        <cfvo type="min"/>
        <cfvo type="max"/>
        <color rgb="FFDFB9EB"/>
      </dataBar>
      <extLst>
        <ext xmlns:x14="http://schemas.microsoft.com/office/spreadsheetml/2009/9/main" uri="{B025F937-C7B1-47D3-B67F-A62EFF666E3E}">
          <x14:id>{ab0cf220-e379-4bce-9b9b-4e691159925a}</x14:id>
        </ext>
      </extLst>
    </cfRule>
    <cfRule type="dataBar" priority="89">
      <dataBar>
        <cfvo type="min"/>
        <cfvo type="max"/>
        <color rgb="FF7BE5BB"/>
      </dataBar>
      <extLst>
        <ext xmlns:x14="http://schemas.microsoft.com/office/spreadsheetml/2009/9/main" uri="{B025F937-C7B1-47D3-B67F-A62EFF666E3E}">
          <x14:id>{2c7932b2-0429-4a88-aece-3678c6715978}</x14:id>
        </ext>
      </extLst>
    </cfRule>
  </conditionalFormatting>
  <conditionalFormatting sqref="F12 F19 F26 F32">
    <cfRule type="dataBar" priority="76">
      <dataBar>
        <cfvo type="min"/>
        <cfvo type="max"/>
        <color rgb="FFBAC6F8"/>
      </dataBar>
      <extLst>
        <ext xmlns:x14="http://schemas.microsoft.com/office/spreadsheetml/2009/9/main" uri="{B025F937-C7B1-47D3-B67F-A62EFF666E3E}">
          <x14:id>{3c6f22b3-9d98-45a2-b327-0bd6cf9b5d25}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e6c625-1586-4dc0-abbf-e81e88b7f96b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F6</xm:sqref>
        </x14:conditionalFormatting>
        <x14:conditionalFormatting xmlns:xm="http://schemas.microsoft.com/office/excel/2006/main">
          <x14:cfRule type="dataBar" id="{96f5f86a-765f-423e-a816-bb63ee8c50e7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F7</xm:sqref>
        </x14:conditionalFormatting>
        <x14:conditionalFormatting xmlns:xm="http://schemas.microsoft.com/office/excel/2006/main">
          <x14:cfRule type="dataBar" id="{9fd48598-7839-4591-b8a6-61a16acc3b65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F8</xm:sqref>
        </x14:conditionalFormatting>
        <x14:conditionalFormatting xmlns:xm="http://schemas.microsoft.com/office/excel/2006/main">
          <x14:cfRule type="dataBar" id="{f6847be5-fcf1-443e-abe7-caa8b78f2d92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F9</xm:sqref>
        </x14:conditionalFormatting>
        <x14:conditionalFormatting xmlns:xm="http://schemas.microsoft.com/office/excel/2006/main">
          <x14:cfRule type="dataBar" id="{e1273c50-b689-41d5-89bf-0eeb32b8672e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F10</xm:sqref>
        </x14:conditionalFormatting>
        <x14:conditionalFormatting xmlns:xm="http://schemas.microsoft.com/office/excel/2006/main">
          <x14:cfRule type="dataBar" id="{9ddc39bf-6bdf-49f7-9e51-c1fa53f7598c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F11</xm:sqref>
        </x14:conditionalFormatting>
        <x14:conditionalFormatting xmlns:xm="http://schemas.microsoft.com/office/excel/2006/main">
          <x14:cfRule type="dataBar" id="{dd746b32-15ce-48f1-997b-c0a22652f267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F13</xm:sqref>
        </x14:conditionalFormatting>
        <x14:conditionalFormatting xmlns:xm="http://schemas.microsoft.com/office/excel/2006/main">
          <x14:cfRule type="dataBar" id="{c98a23f4-8cf3-4cca-be6e-412a65b018ff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F14</xm:sqref>
        </x14:conditionalFormatting>
        <x14:conditionalFormatting xmlns:xm="http://schemas.microsoft.com/office/excel/2006/main">
          <x14:cfRule type="dataBar" id="{268a26dd-5d0a-46cc-9949-f847838d58a2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F15</xm:sqref>
        </x14:conditionalFormatting>
        <x14:conditionalFormatting xmlns:xm="http://schemas.microsoft.com/office/excel/2006/main">
          <x14:cfRule type="dataBar" id="{4dc47951-c98b-4c50-9d48-f23454d79f12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F16</xm:sqref>
        </x14:conditionalFormatting>
        <x14:conditionalFormatting xmlns:xm="http://schemas.microsoft.com/office/excel/2006/main">
          <x14:cfRule type="dataBar" id="{87945583-88ac-4031-95a5-8037cabea039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F17</xm:sqref>
        </x14:conditionalFormatting>
        <x14:conditionalFormatting xmlns:xm="http://schemas.microsoft.com/office/excel/2006/main">
          <x14:cfRule type="dataBar" id="{a3171f85-c332-4b5a-98aa-b49dea421719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F18</xm:sqref>
        </x14:conditionalFormatting>
        <x14:conditionalFormatting xmlns:xm="http://schemas.microsoft.com/office/excel/2006/main">
          <x14:cfRule type="dataBar" id="{44cddeb2-946d-4fbd-bf1d-5e19867834b9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F20</xm:sqref>
        </x14:conditionalFormatting>
        <x14:conditionalFormatting xmlns:xm="http://schemas.microsoft.com/office/excel/2006/main">
          <x14:cfRule type="dataBar" id="{d85fbe16-2bcb-4aa4-9740-b059ad799626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F21</xm:sqref>
        </x14:conditionalFormatting>
        <x14:conditionalFormatting xmlns:xm="http://schemas.microsoft.com/office/excel/2006/main">
          <x14:cfRule type="dataBar" id="{605943d0-0bbc-4840-81d7-637867c43022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F22</xm:sqref>
        </x14:conditionalFormatting>
        <x14:conditionalFormatting xmlns:xm="http://schemas.microsoft.com/office/excel/2006/main">
          <x14:cfRule type="dataBar" id="{1986563c-205d-41b2-bc11-c99b846504a3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F23</xm:sqref>
        </x14:conditionalFormatting>
        <x14:conditionalFormatting xmlns:xm="http://schemas.microsoft.com/office/excel/2006/main">
          <x14:cfRule type="dataBar" id="{397dc42d-bc29-46f3-a2b9-a2859da48a22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F24</xm:sqref>
        </x14:conditionalFormatting>
        <x14:conditionalFormatting xmlns:xm="http://schemas.microsoft.com/office/excel/2006/main">
          <x14:cfRule type="dataBar" id="{849cb9de-069e-4f11-b8cd-8620d35a4022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F25</xm:sqref>
        </x14:conditionalFormatting>
        <x14:conditionalFormatting xmlns:xm="http://schemas.microsoft.com/office/excel/2006/main">
          <x14:cfRule type="dataBar" id="{6179076d-429f-4609-9dd0-2598aa5f34e7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F31</xm:sqref>
        </x14:conditionalFormatting>
        <x14:conditionalFormatting xmlns:xm="http://schemas.microsoft.com/office/excel/2006/main">
          <x14:cfRule type="dataBar" id="{06420a57-26df-42bb-90d1-fac2e7a25b5e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F27:F30</xm:sqref>
        </x14:conditionalFormatting>
        <x14:conditionalFormatting xmlns:xm="http://schemas.microsoft.com/office/excel/2006/main">
          <x14:cfRule type="dataBar" id="{dae99485-083c-4186-be01-8627d1f2d4c9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ce33714e-97e7-4ad6-9e57-d74d751672b5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J9:J11</xm:sqref>
        </x14:conditionalFormatting>
        <x14:conditionalFormatting xmlns:xm="http://schemas.microsoft.com/office/excel/2006/main">
          <x14:cfRule type="dataBar" id="{efc130c9-fefb-4d94-b696-27ecf300fb45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6abc6d41-9964-4fbd-b4f9-edb6b5038e07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J13:J15</xm:sqref>
        </x14:conditionalFormatting>
        <x14:conditionalFormatting xmlns:xm="http://schemas.microsoft.com/office/excel/2006/main">
          <x14:cfRule type="dataBar" id="{8518e1f1-b38b-4285-a2c7-707db749589b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2cab2414-615b-4b76-9dd4-be2be4c982a2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J16:J18</xm:sqref>
        </x14:conditionalFormatting>
        <x14:conditionalFormatting xmlns:xm="http://schemas.microsoft.com/office/excel/2006/main">
          <x14:cfRule type="dataBar" id="{77d7f238-9de8-42fd-b92c-372f9e99aea2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665f7bf2-88f4-4fee-bbf0-f6d3a03c139a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J20:J22</xm:sqref>
        </x14:conditionalFormatting>
        <x14:conditionalFormatting xmlns:xm="http://schemas.microsoft.com/office/excel/2006/main">
          <x14:cfRule type="dataBar" id="{72695804-81bb-4911-ace1-72f2ad357d21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da01f0c5-3248-4785-91c5-1cfaf286dec1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J23:J25</xm:sqref>
        </x14:conditionalFormatting>
        <x14:conditionalFormatting xmlns:xm="http://schemas.microsoft.com/office/excel/2006/main">
          <x14:cfRule type="dataBar" id="{17576e71-85a5-43e2-9b58-520af714585c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0500a752-5c66-4245-8241-83be1d116e68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J27:J30</xm:sqref>
        </x14:conditionalFormatting>
        <x14:conditionalFormatting xmlns:xm="http://schemas.microsoft.com/office/excel/2006/main">
          <x14:cfRule type="dataBar" id="{41f4d83e-3fc0-4dc8-8158-235c7aa40544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09d28373-df0b-4210-acbc-d67561e82794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5e6d77c0-f7da-475c-8167-18685238a67c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K9:K11</xm:sqref>
        </x14:conditionalFormatting>
        <x14:conditionalFormatting xmlns:xm="http://schemas.microsoft.com/office/excel/2006/main">
          <x14:cfRule type="dataBar" id="{048ba3da-eaed-4a85-9e31-8255b1060a00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862472dd-8355-41e5-b659-fb3e204bcbc7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e11036ee-b991-4bc9-95e2-9d935718312f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K13:K15</xm:sqref>
        </x14:conditionalFormatting>
        <x14:conditionalFormatting xmlns:xm="http://schemas.microsoft.com/office/excel/2006/main">
          <x14:cfRule type="dataBar" id="{d319730b-f14c-4617-91da-d1e1c146f744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a1ab5df2-436a-4165-a644-a4fa489c1cfe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74878674-3c96-47b9-ae29-429c8b273394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K16:K18</xm:sqref>
        </x14:conditionalFormatting>
        <x14:conditionalFormatting xmlns:xm="http://schemas.microsoft.com/office/excel/2006/main">
          <x14:cfRule type="dataBar" id="{44d5dec2-1a9f-4932-b264-e84da7d043d3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5ef08b1d-ff19-44b2-ba62-ce340ec386a3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ce7bbe26-0231-47d0-9179-0d23c4876ea4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K20:K22</xm:sqref>
        </x14:conditionalFormatting>
        <x14:conditionalFormatting xmlns:xm="http://schemas.microsoft.com/office/excel/2006/main">
          <x14:cfRule type="dataBar" id="{2b73745b-7b73-43bc-bfbb-01f22904dbed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a3fdc1b5-15ae-4583-8f83-9e8ae36714fc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fb6753d7-1a8c-438d-8c77-406081a4e723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K23:K25</xm:sqref>
        </x14:conditionalFormatting>
        <x14:conditionalFormatting xmlns:xm="http://schemas.microsoft.com/office/excel/2006/main">
          <x14:cfRule type="dataBar" id="{a537c3a7-1d77-457f-8322-a8baaab2a5a6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8bba2d93-172d-47ac-9638-25c22e81ac82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d61587eb-8126-47b5-b85a-c341582c4166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K27:K30</xm:sqref>
        </x14:conditionalFormatting>
        <x14:conditionalFormatting xmlns:xm="http://schemas.microsoft.com/office/excel/2006/main">
          <x14:cfRule type="dataBar" id="{8360ed65-ae03-4683-917c-c6c05a7d23b1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d1ba8be6-195e-41ad-8cf5-ae862a7eec62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J6:J8 J12 J19 J26 J31:J32</xm:sqref>
        </x14:conditionalFormatting>
        <x14:conditionalFormatting xmlns:xm="http://schemas.microsoft.com/office/excel/2006/main">
          <x14:cfRule type="dataBar" id="{254d7659-7fd8-4e24-b800-c9a3d6acf482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ab0cf220-e379-4bce-9b9b-4e691159925a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14:cfRule type="dataBar" id="{2c7932b2-0429-4a88-aece-3678c6715978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K6:K8 K12 K19 K26 K31:K32</xm:sqref>
        </x14:conditionalFormatting>
        <x14:conditionalFormatting xmlns:xm="http://schemas.microsoft.com/office/excel/2006/main">
          <x14:cfRule type="dataBar" id="{3c6f22b3-9d98-45a2-b327-0bd6cf9b5d25}">
            <x14:dataBar minLength="0" maxLength="100">
              <x14:cfvo type="autoMin"/>
              <x14:cfvo type="autoMax"/>
              <x14:negativeFillColor rgb="FFF97885"/>
              <x14:axisColor indexed="65"/>
            </x14:dataBar>
          </x14:cfRule>
          <xm:sqref>F12 F19 F26 F32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zoeyzhou</dc:creator>
  <cp:lastModifiedBy>Velvetymoon</cp:lastModifiedBy>
  <dcterms:created xsi:type="dcterms:W3CDTF">2026-07-10T07:27:00Z</dcterms:created>
  <dcterms:modified xsi:type="dcterms:W3CDTF">2026-07-15T11:25:54Z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02CB748CF4C20BC5744D4F6A7E757E7C_41</vt:lpwstr>
  </property>
  <property fmtid="{D5CDD505-2E9C-101B-9397-08002B2CF9AE}" pid="3" name="KSOProductBuildVer">
    <vt:lpwstr>2052-6.12.0.8899</vt:lpwstr>
  </property>
</Properties>
</file>